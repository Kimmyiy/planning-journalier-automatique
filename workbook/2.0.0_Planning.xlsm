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cmaas01\Partage\BOLO_Files\01_Administration\03_Commun\03_Joakim Nicolet-dit-Felix\Planning macro\01_Pas toucher !\2.0.0 Planning\"/>
    </mc:Choice>
  </mc:AlternateContent>
  <bookViews>
    <workbookView xWindow="0" yWindow="0" windowWidth="17370" windowHeight="6195"/>
  </bookViews>
  <sheets>
    <sheet name="Planning journalier" sheetId="15" r:id="rId1"/>
    <sheet name="Personnel" sheetId="24" r:id="rId2"/>
    <sheet name="Vacances" sheetId="25" r:id="rId3"/>
    <sheet name="Feries" sheetId="27" r:id="rId4"/>
    <sheet name="Groupes" sheetId="28" r:id="rId5"/>
    <sheet name="Remplacements" sheetId="26" r:id="rId6"/>
    <sheet name="Parametres" sheetId="20" r:id="rId7"/>
    <sheet name="Index des Versions" sheetId="21" r:id="rId8"/>
    <sheet name="Liste" sheetId="30" r:id="rId9"/>
  </sheets>
  <functionGroups builtInGroupCount="18"/>
  <externalReferences>
    <externalReference r:id="rId10"/>
    <externalReference r:id="rId11"/>
  </externalReferences>
  <definedNames>
    <definedName name="ApresMidi">'Planning journalier'!$F$24:$F$26</definedName>
    <definedName name="Date_planning">'Planning journalier'!$B$3</definedName>
    <definedName name="Date_print">'Planning journalier'!$G$31</definedName>
    <definedName name="Effectif_Minimum">Parametres!$G$2</definedName>
    <definedName name="EnEpreuve_VaoX5A">'Planning journalier'!$B$9</definedName>
    <definedName name="EnEpreuve_VaoX5B">'Planning journalier'!$B$10</definedName>
    <definedName name="EnEpreuve_VaoX5C">'Planning journalier'!$B$11</definedName>
    <definedName name="EnEpreuve_VaoX5D">'Planning journalier'!$B$12</definedName>
    <definedName name="MAJ_Stats">'Planning journalier'!$G$32</definedName>
    <definedName name="Ref_GroupeG1">'Planning journalier'!$G$33</definedName>
    <definedName name="Resp_livraison">'Planning journalier'!$G$29</definedName>
    <definedName name="Resp_Semaine">'Planning journalier'!$G$28</definedName>
    <definedName name="VaoX5_C_EnEpreuve">'Planning journalier'!$B$11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5" l="1"/>
  <c r="C13" i="15"/>
  <c r="B13" i="15"/>
  <c r="A3" i="15" l="1"/>
  <c r="D17" i="15" l="1"/>
  <c r="D16" i="15"/>
</calcChain>
</file>

<file path=xl/sharedStrings.xml><?xml version="1.0" encoding="utf-8"?>
<sst xmlns="http://schemas.openxmlformats.org/spreadsheetml/2006/main" count="1390" uniqueCount="366">
  <si>
    <t>Vaox5-A 1</t>
  </si>
  <si>
    <t>Vaox5-A 2</t>
  </si>
  <si>
    <t>Vaox5-A 3</t>
  </si>
  <si>
    <t>Vaox5-B 1</t>
  </si>
  <si>
    <t>Vaox5-B 2</t>
  </si>
  <si>
    <t>Vaox5-B 3</t>
  </si>
  <si>
    <t>Vaox5-C 1</t>
  </si>
  <si>
    <t>Vaox5-C 2</t>
  </si>
  <si>
    <t>Chopard Katia</t>
  </si>
  <si>
    <t>Diop Muriel</t>
  </si>
  <si>
    <t>Fleuty Bernadette</t>
  </si>
  <si>
    <t>Gauthier Fabienne</t>
  </si>
  <si>
    <t>Kolarevic Melisa</t>
  </si>
  <si>
    <t>Lezzi Mirella</t>
  </si>
  <si>
    <t>Nicolet Valérie</t>
  </si>
  <si>
    <t>Piaget Maybelline</t>
  </si>
  <si>
    <t>Robert-Nicoud Isabelle</t>
  </si>
  <si>
    <t>Salodini Christine</t>
  </si>
  <si>
    <t>Valceschini Samira</t>
  </si>
  <si>
    <t>Wälti Jenny</t>
  </si>
  <si>
    <t>Lundi</t>
  </si>
  <si>
    <t>Mardi</t>
  </si>
  <si>
    <t>Mercredi</t>
  </si>
  <si>
    <t>Jeudi</t>
  </si>
  <si>
    <t>Vendredi</t>
  </si>
  <si>
    <t>Samedi</t>
  </si>
  <si>
    <t>Dimanche</t>
  </si>
  <si>
    <t>Date</t>
  </si>
  <si>
    <t>Quantités</t>
  </si>
  <si>
    <t>Aux OFF</t>
  </si>
  <si>
    <t>VaoX1-A</t>
  </si>
  <si>
    <t>VaoX1-B</t>
  </si>
  <si>
    <t>VaoX5-A</t>
  </si>
  <si>
    <t>VaoX5-B</t>
  </si>
  <si>
    <t>VaoX5-C</t>
  </si>
  <si>
    <t>VaoX5-D</t>
  </si>
  <si>
    <t>Total</t>
  </si>
  <si>
    <t>Qté total</t>
  </si>
  <si>
    <t>Matin</t>
  </si>
  <si>
    <t>Chapatte Lena</t>
  </si>
  <si>
    <t>Curato Sara</t>
  </si>
  <si>
    <t>Gerber Emmanuelle</t>
  </si>
  <si>
    <t>Gonçalves Viviana</t>
  </si>
  <si>
    <t>Keller Olivia</t>
  </si>
  <si>
    <t>León Diego</t>
  </si>
  <si>
    <t>Örge Velican</t>
  </si>
  <si>
    <t>Smusz Lidia</t>
  </si>
  <si>
    <t>Aeschlimann Lucie</t>
  </si>
  <si>
    <t>Aeschlimann Mila</t>
  </si>
  <si>
    <t>Dubois Noémie</t>
  </si>
  <si>
    <t>Ferrera Lopes Iris</t>
  </si>
  <si>
    <t>Jean-Mairet Sophie</t>
  </si>
  <si>
    <t>Latino Lory</t>
  </si>
  <si>
    <t>Miéville Julia</t>
  </si>
  <si>
    <t>Miéville Nathan</t>
  </si>
  <si>
    <t>Stämpfli Annaé</t>
  </si>
  <si>
    <t>Tora Suarez Ines</t>
  </si>
  <si>
    <t>Après-midi</t>
  </si>
  <si>
    <t>Entrées</t>
  </si>
  <si>
    <t>Sorties</t>
  </si>
  <si>
    <t>Casciotta Pierluigi</t>
  </si>
  <si>
    <t>Loertscher Christophe</t>
  </si>
  <si>
    <t>Nicolet Joakim</t>
  </si>
  <si>
    <t>En épreuves</t>
  </si>
  <si>
    <t>Remarques</t>
  </si>
  <si>
    <t>Poste</t>
  </si>
  <si>
    <t>Resp. production :</t>
  </si>
  <si>
    <t>Resp. livraison :</t>
  </si>
  <si>
    <t>Nom</t>
  </si>
  <si>
    <t>Vaox5-A</t>
  </si>
  <si>
    <t>Vaox5-B</t>
  </si>
  <si>
    <t>Vaox5-C</t>
  </si>
  <si>
    <t>Vaox5-D</t>
  </si>
  <si>
    <t>D</t>
  </si>
  <si>
    <t>Cirulli Nicola</t>
  </si>
  <si>
    <t>Impression le :</t>
  </si>
  <si>
    <t>Machine</t>
  </si>
  <si>
    <t>Post</t>
  </si>
  <si>
    <t>Version</t>
  </si>
  <si>
    <t>Détails</t>
  </si>
  <si>
    <t>V_1.0.0</t>
  </si>
  <si>
    <t>V_1.1.0</t>
  </si>
  <si>
    <t>Version initial</t>
  </si>
  <si>
    <t>Version initial du projet</t>
  </si>
  <si>
    <t>Date création</t>
  </si>
  <si>
    <t>Date mise en service</t>
  </si>
  <si>
    <t>Auteur</t>
  </si>
  <si>
    <t>JNF</t>
  </si>
  <si>
    <t>Info</t>
  </si>
  <si>
    <t>Mise à jour graphique</t>
  </si>
  <si>
    <t>Réorganisation de l'emplacement des boutons</t>
  </si>
  <si>
    <t>Augmentation du nombre admis de personnel lors de la création du planning</t>
  </si>
  <si>
    <t>Impactes</t>
  </si>
  <si>
    <t>Feuille "Planning journalier"</t>
  </si>
  <si>
    <t>Feuille "Horaire"</t>
  </si>
  <si>
    <t xml:space="preserve">Feuille "Planning journalier"
</t>
  </si>
  <si>
    <t>Feuille "Restriction"</t>
  </si>
  <si>
    <t>Feuille "Statistique"</t>
  </si>
  <si>
    <t>Index des versions</t>
  </si>
  <si>
    <t>Ajout de quelques fonctions automatisées</t>
  </si>
  <si>
    <t>Ajout d'un seuil Quantité/Personnel sur Vaox5-A, B, D</t>
  </si>
  <si>
    <t>Sub GenererPlanning()
Li 125
Li 132</t>
  </si>
  <si>
    <t>Sub ConstruireListePostes()
Li 284
Li 320
Li 329
Li 345
Li 378</t>
  </si>
  <si>
    <t>Feuille "Paramètres"
Ajout des trois machines</t>
  </si>
  <si>
    <t>Verrouillage des lettre en Majuscule dans la feuille horaire</t>
  </si>
  <si>
    <t>Simplification de remplissage</t>
  </si>
  <si>
    <t>Feuille "Horaire"
Masquage des Colones A à F</t>
  </si>
  <si>
    <t>Enregistrement Auto PDF</t>
  </si>
  <si>
    <t>Sub ImprimerPlanning()
Li 57</t>
  </si>
  <si>
    <t>Suppression de la cellule de titre "Planning journalier" pour l'intégré dans l'en-tête du fichier</t>
  </si>
  <si>
    <t>Feuille "Planning journalier"
A1</t>
  </si>
  <si>
    <t>Enregistrement automatique d'un PDF dans un dossier "Archives"
Se trouve au même chemin d'accès que ce document</t>
  </si>
  <si>
    <t>Jour précédent</t>
  </si>
  <si>
    <t>Jour en cours</t>
  </si>
  <si>
    <t>V_1.2.0</t>
  </si>
  <si>
    <t>L'ordre de passage du personnel par machine ne passe plus par la feuille "News Planning". 
Désormait, l'ordre est effectuer aléatoirement et en concertation de la feuille des "Statistiques"</t>
  </si>
  <si>
    <t>Suppression feuille "News Planning"</t>
  </si>
  <si>
    <t xml:space="preserve">Ordre de passage </t>
  </si>
  <si>
    <t>Vaox1-A&amp;B</t>
  </si>
  <si>
    <t>Feuille "News Planning"</t>
  </si>
  <si>
    <t>Sub GenererPlanning()</t>
  </si>
  <si>
    <t>Fermeture machine</t>
  </si>
  <si>
    <t>Ajout d'une option de fermeture par machine via case à cocher native Excel</t>
  </si>
  <si>
    <t>Feuille "Paramètres"</t>
  </si>
  <si>
    <t>Seuils quantité</t>
  </si>
  <si>
    <t>Remplacement de l'ancien seuil unique par deux seuils par machine (passage de 1→2 et 2→3 personnes)</t>
  </si>
  <si>
    <t>Function CalculerNbPersonnes()</t>
  </si>
  <si>
    <t>Planning Matin / Après-midi</t>
  </si>
  <si>
    <t>Séparation du planning en deux tableaux distincts</t>
  </si>
  <si>
    <t>Planning_Matin (F6:G20) : toutes les opératrices présentes (M et J)</t>
  </si>
  <si>
    <t>Planning_ApresMidi (F25:G27) : opératrices code J uniquement, indicatif</t>
  </si>
  <si>
    <t>Plage nommée : Planning_ApresMidi</t>
  </si>
  <si>
    <t>Expédition dynamique</t>
  </si>
  <si>
    <t>Les opératrices restantes après les postes machines sont automatiquement affectées à l'Expédition</t>
  </si>
  <si>
    <t>Impression</t>
  </si>
  <si>
    <t>Ajout de la boîte de dialogue d'impression native Excel pour le choix de l'imprimante</t>
  </si>
  <si>
    <t>Sub ImprimerPlanning()</t>
  </si>
  <si>
    <t>Plages nommées</t>
  </si>
  <si>
    <t xml:space="preserve"> nomméesUtilisation systématique des plages nommées pour toutes les cellules clés</t>
  </si>
  <si>
    <t>Date_planning
EnEpreuve_VaoX5A/B/C/D
Date_print</t>
  </si>
  <si>
    <t>Plages nommées : 
Close_VX1AB
Close_VX5A
Close_VX5B
Close_VX5C
Close_VX5D</t>
  </si>
  <si>
    <t>Plages nommées : 
VX5A/B/C/D_Seuil_1
VX5A/B/C/D_Seuil_2</t>
  </si>
  <si>
    <t>(F6:G20) : toutes les opératrices présentes (M et J)
Plage nommée : Planning_Matin</t>
  </si>
  <si>
    <t>Statistiques</t>
  </si>
  <si>
    <t>Mise à jour des statistiques uniquement sur le Planning_Matin</t>
  </si>
  <si>
    <t>Sub MettreAJourStatistiques()</t>
  </si>
  <si>
    <t>Modèle AI</t>
  </si>
  <si>
    <t>ChatGPT,  GPT-5.3</t>
  </si>
  <si>
    <t>Claude, Sonnet-4.6</t>
  </si>
  <si>
    <t>V_1.2.1</t>
  </si>
  <si>
    <t>Export serveur</t>
  </si>
  <si>
    <t>Ajout d'un module dédié à l'export du fichier Planning vers le serveur d'entreprise</t>
  </si>
  <si>
    <t>Protection de l'action par mot de passe "UpDate"</t>
  </si>
  <si>
    <t>Module "Export_Serveur"</t>
  </si>
  <si>
    <t>Archivage local automatique daté avant chaque export</t>
  </si>
  <si>
    <t>Dossier "Archives"</t>
  </si>
  <si>
    <t>Ecrasement du fichier existant sur le serveur à chaque export</t>
  </si>
  <si>
    <t>Vérification de l'accessibilité du serveur avant export</t>
  </si>
  <si>
    <t>\\scmaas01\Partage\BOLO_Files\01_Administration\02_Personnel BO\01_Personnel fixe\03_Planning\</t>
  </si>
  <si>
    <t>Réorganisation du visuel global</t>
  </si>
  <si>
    <t>Vaox5-D 1</t>
  </si>
  <si>
    <t>V_1.2.2</t>
  </si>
  <si>
    <t>Impression &amp; Statistiques</t>
  </si>
  <si>
    <t>Vérification anti-double incrément des statistiques lors de l'impression</t>
  </si>
  <si>
    <t>Date_print enregistré uniquement lors d'une impression validée</t>
  </si>
  <si>
    <t>Plage nommée : Date_print</t>
  </si>
  <si>
    <t>Dossiers année/mois basés sur la date du planning</t>
  </si>
  <si>
    <t>Archivage PDF</t>
  </si>
  <si>
    <t>Nom du fichier PDF basé sur le timestamp d'impression</t>
  </si>
  <si>
    <t>Refactoring</t>
  </si>
  <si>
    <t>Mem() renommé en InitFeuilles() et passé en Private</t>
  </si>
  <si>
    <t>Commande_Bouton.bas</t>
  </si>
  <si>
    <t>Appel incrementStats remplacé par Planning.MettreAJourStatistiques</t>
  </si>
  <si>
    <t>MettreAJourStatistiques passée de Private à Public</t>
  </si>
  <si>
    <t>Planning.bas</t>
  </si>
  <si>
    <t>\\scmaas01\Partage\BOLO_Files\01_Administration\02_Personnel BO\01_Personnel fixe\03_Planning\Archives</t>
  </si>
  <si>
    <t>README</t>
  </si>
  <si>
    <t>Ajout d'un text explicatif du projet dans le classeur excel</t>
  </si>
  <si>
    <t>Exportation de la feuille README en .txt dans le dossier serveur à chaque exportation d'une nouvel version</t>
  </si>
  <si>
    <t>Feuille "README"</t>
  </si>
  <si>
    <t>Prompt ia</t>
  </si>
  <si>
    <t>Feuille "Prompt_IA"</t>
  </si>
  <si>
    <t>Ajout d'un prompt permettant à une Intelligence Artificiel de comprendre et de collaborer au projet du Planning Automatisé</t>
  </si>
  <si>
    <t>Exportation de la feuille "Prompt_IA" en .txt dans le dossier serveur à chaque exportation d'une nouvel version</t>
  </si>
  <si>
    <t>ChatGPT, GPT-5.1</t>
  </si>
  <si>
    <t>ID</t>
  </si>
  <si>
    <t>Statut</t>
  </si>
  <si>
    <t>Type</t>
  </si>
  <si>
    <t>Groupe</t>
  </si>
  <si>
    <t>P1</t>
  </si>
  <si>
    <t>P2</t>
  </si>
  <si>
    <t>P3</t>
  </si>
  <si>
    <t>Vaox1</t>
  </si>
  <si>
    <t>Stats_A</t>
  </si>
  <si>
    <t>Stats_B</t>
  </si>
  <si>
    <t>Stats_C</t>
  </si>
  <si>
    <t>Stats_D</t>
  </si>
  <si>
    <t>Stats_Vaox1</t>
  </si>
  <si>
    <t>Stats_EXP</t>
  </si>
  <si>
    <t>ID_Personne</t>
  </si>
  <si>
    <t>Date_Debut</t>
  </si>
  <si>
    <t>Date_Fin</t>
  </si>
  <si>
    <t>ID_Absent</t>
  </si>
  <si>
    <t>Nom_Absent</t>
  </si>
  <si>
    <t>ID_Remplaçant</t>
  </si>
  <si>
    <t>Nom_Remplaçant</t>
  </si>
  <si>
    <t>MàJ statistique le :</t>
  </si>
  <si>
    <t>Aux ON</t>
  </si>
  <si>
    <t>OP001</t>
  </si>
  <si>
    <t>Actif</t>
  </si>
  <si>
    <t>Fixe</t>
  </si>
  <si>
    <t>-</t>
  </si>
  <si>
    <t>M</t>
  </si>
  <si>
    <t>OP002</t>
  </si>
  <si>
    <t>J</t>
  </si>
  <si>
    <t>OP003</t>
  </si>
  <si>
    <t>OP004</t>
  </si>
  <si>
    <t>OP005</t>
  </si>
  <si>
    <t>OP006</t>
  </si>
  <si>
    <t>OP007</t>
  </si>
  <si>
    <t>OP008</t>
  </si>
  <si>
    <t>OP009</t>
  </si>
  <si>
    <t>OP010</t>
  </si>
  <si>
    <t>OP011</t>
  </si>
  <si>
    <t>OP012</t>
  </si>
  <si>
    <t>OP013</t>
  </si>
  <si>
    <t>Auxiliaire</t>
  </si>
  <si>
    <t>G1</t>
  </si>
  <si>
    <t>OP014</t>
  </si>
  <si>
    <t>OP015</t>
  </si>
  <si>
    <t>Da Costa Duarte Sarah</t>
  </si>
  <si>
    <t>OP016</t>
  </si>
  <si>
    <t>OP017</t>
  </si>
  <si>
    <t>OP018</t>
  </si>
  <si>
    <t>OP019</t>
  </si>
  <si>
    <t>OP020</t>
  </si>
  <si>
    <t>OP021</t>
  </si>
  <si>
    <t>Serra Esteban</t>
  </si>
  <si>
    <t>OP022</t>
  </si>
  <si>
    <t>OP023</t>
  </si>
  <si>
    <t>Stifani Lune</t>
  </si>
  <si>
    <t>OP024</t>
  </si>
  <si>
    <t>Zürcher Adèle</t>
  </si>
  <si>
    <t>OP025</t>
  </si>
  <si>
    <t>G2</t>
  </si>
  <si>
    <t>OP026</t>
  </si>
  <si>
    <t>OP027</t>
  </si>
  <si>
    <t>OP028</t>
  </si>
  <si>
    <t>OP029</t>
  </si>
  <si>
    <t>OP030</t>
  </si>
  <si>
    <t>OP031</t>
  </si>
  <si>
    <t>OP032</t>
  </si>
  <si>
    <t>OP033</t>
  </si>
  <si>
    <t>OP034</t>
  </si>
  <si>
    <t>OP035</t>
  </si>
  <si>
    <t>Vielle Jessy</t>
  </si>
  <si>
    <t>Nouvel An</t>
  </si>
  <si>
    <t>Fete de la Republique</t>
  </si>
  <si>
    <t>Vendredi Saint</t>
  </si>
  <si>
    <t>Calcule</t>
  </si>
  <si>
    <t>Lundi de Paques</t>
  </si>
  <si>
    <t>Fete du Travail</t>
  </si>
  <si>
    <t>Ascension</t>
  </si>
  <si>
    <t>Lundi de Pentecote</t>
  </si>
  <si>
    <t>Fete nationale</t>
  </si>
  <si>
    <t>Jeune federal</t>
  </si>
  <si>
    <t>Noel</t>
  </si>
  <si>
    <t>Manuel</t>
  </si>
  <si>
    <t>Maladie</t>
  </si>
  <si>
    <t>Fermeture</t>
  </si>
  <si>
    <t>lundi du 1er WE du G1</t>
  </si>
  <si>
    <t>OP036</t>
  </si>
  <si>
    <t>Ragot Flavio</t>
  </si>
  <si>
    <t>Archive</t>
  </si>
  <si>
    <t>Seuil_2pers</t>
  </si>
  <si>
    <t>Seuil_3pers</t>
  </si>
  <si>
    <t>Max</t>
  </si>
  <si>
    <t>V_1.2.3</t>
  </si>
  <si>
    <t>Documentation</t>
  </si>
  <si>
    <t>Section MODULES VBA du Prompt_IA.txt enrichie avec toutes les fonctions clés</t>
  </si>
  <si>
    <t>Export_Serveur.bas</t>
  </si>
  <si>
    <t>Section VERSION ajoutée avec fate dynamique</t>
  </si>
  <si>
    <t>Ordre d'affectation</t>
  </si>
  <si>
    <t>tri dynamique des machines Vaox5 par passage totaux des présents</t>
  </si>
  <si>
    <t>Vaox1 A&amp;B toujours en premier, Expedition toujours en dernier</t>
  </si>
  <si>
    <t>Affichage visuel inchangé : Vaox1 &gt; A &gt; B &gt; C &gt; D &gt; Expédition</t>
  </si>
  <si>
    <t>Nouvelle fonction SommePassageMachines()</t>
  </si>
  <si>
    <t>Modif_Manuelle</t>
  </si>
  <si>
    <t>Oui</t>
  </si>
  <si>
    <t>Weekend</t>
  </si>
  <si>
    <t>Ferie</t>
  </si>
  <si>
    <t>Non</t>
  </si>
  <si>
    <t>Fermeture entreprise</t>
  </si>
  <si>
    <t xml:space="preserve"> </t>
  </si>
  <si>
    <t>Ponts Ascencion</t>
  </si>
  <si>
    <t>V_2.0.0</t>
  </si>
  <si>
    <t>Architecture</t>
  </si>
  <si>
    <t>Fusion Horaire/Restrictions/Statistiques</t>
  </si>
  <si>
    <t>Feuille Personnel unique</t>
  </si>
  <si>
    <t>Nouvelle feuille Vacances</t>
  </si>
  <si>
    <t>Absence, congés, maladies</t>
  </si>
  <si>
    <t>Nouvelle feuille Feries</t>
  </si>
  <si>
    <t>Férié Neuchâtel + fermetures entreprise</t>
  </si>
  <si>
    <t>Nouvelle feuille Remplacements</t>
  </si>
  <si>
    <t>Remplacement des auxiliaires</t>
  </si>
  <si>
    <t>Nouvelle feuille Groupes</t>
  </si>
  <si>
    <t>Calendrier G1/G2
Tableau Dates_Groupes</t>
  </si>
  <si>
    <t>Nouvelle feuille Prametres</t>
  </si>
  <si>
    <t>Tableau Tbl_Parametres</t>
  </si>
  <si>
    <t>Toutes les écritures via ListObject.ListRows.Add</t>
  </si>
  <si>
    <t>Jamais ws.Cells</t>
  </si>
  <si>
    <t>Module_Constantes</t>
  </si>
  <si>
    <t>Nouveau Module</t>
  </si>
  <si>
    <t>Centralise tous les noms de feuilles et tableaux</t>
  </si>
  <si>
    <t>Module_Types</t>
  </si>
  <si>
    <t>Nouveau module</t>
  </si>
  <si>
    <t>Fériés Neuchâtel, fermetures, grille calendrier</t>
  </si>
  <si>
    <t>Type public JourCalendrier</t>
  </si>
  <si>
    <t>Module_Feries</t>
  </si>
  <si>
    <t>Module_Groupe</t>
  </si>
  <si>
    <t>Groupe G1/G2 avec tournus annuel</t>
  </si>
  <si>
    <t>Module_StatsHebdo</t>
  </si>
  <si>
    <t>PDF stats hebdomadaires automatique chaque lundi</t>
  </si>
  <si>
    <t>Module_UserForm</t>
  </si>
  <si>
    <t>Logique métier de tous les onglets du UserForm</t>
  </si>
  <si>
    <t>Planning_Auto</t>
  </si>
  <si>
    <t>Gestion auxiliaires (weekends et jours fériés)</t>
  </si>
  <si>
    <t>Tri dynamique v1.2.3 : machine la moins dotée en premier</t>
  </si>
  <si>
    <t>Tirage aléatoire ex-aequo conservé</t>
  </si>
  <si>
    <t>Commande_Bouton</t>
  </si>
  <si>
    <t>Auto-save après impression et incrémentation des stats</t>
  </si>
  <si>
    <t>Appel automatique Module_StatsHebdo chaque lundi</t>
  </si>
  <si>
    <t>UserForm_GestionPersonnel</t>
  </si>
  <si>
    <t>Nouveau formulaire — 5 onglets complets</t>
  </si>
  <si>
    <t>Onglet Personnel</t>
  </si>
  <si>
    <t>Calendrier personnel avec couleurs horaire/absences</t>
  </si>
  <si>
    <t>Caption M/J sur les jours travaillés</t>
  </si>
  <si>
    <t>Double-clic : infos + ajout/suppression absence ou remplacement</t>
  </si>
  <si>
    <t>Bouton "Ajouter une absence" / "Enregistrer un remplacement"</t>
  </si>
  <si>
    <t>Impression fiche avec choix des sections</t>
  </si>
  <si>
    <t>Onglet Auxiliaires</t>
  </si>
  <si>
    <t>Calendrier G1/G2 avec attribution manuelle</t>
  </si>
  <si>
    <t>Date référence G1 modifiable depuis le UserForm</t>
  </si>
  <si>
    <t>Génération automatique des groupes avec tournus annuel</t>
  </si>
  <si>
    <t>Gestion des remplacements avec 2e ListBox</t>
  </si>
  <si>
    <t>Onglet Absences</t>
  </si>
  <si>
    <t>Deux ListBox — personnel + absences de la personne</t>
  </si>
  <si>
    <t>Fériés Neuchâtel + fermetures entreprise (rouge)</t>
  </si>
  <si>
    <t>Onglet Calendrier</t>
  </si>
  <si>
    <t>Synchronisé avec feuille Groupes</t>
  </si>
  <si>
    <t>Onglet Parametres</t>
  </si>
  <si>
    <t>Seuils machines et fermetures pilotables depuis le UserForm</t>
  </si>
  <si>
    <t>Export_Serveur</t>
  </si>
  <si>
    <t>Mise à jours des fichier pour la V2.0.0</t>
  </si>
  <si>
    <t>Divers</t>
  </si>
  <si>
    <t xml:space="preserve">Bug WE Ascension (4 jours) </t>
  </si>
  <si>
    <t>vérification manuelle recommandée</t>
  </si>
  <si>
    <t>Vacances</t>
  </si>
  <si>
    <t>OP037</t>
  </si>
  <si>
    <t>Dupont Michel</t>
  </si>
  <si>
    <t>Conge</t>
  </si>
  <si>
    <t>Ferie exceptionnel</t>
  </si>
  <si>
    <t>Effectif minimum</t>
  </si>
  <si>
    <t>Renfort</t>
  </si>
  <si>
    <t>Période</t>
  </si>
  <si>
    <t>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</si>
</sst>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_ ;\-0\ "/>
    <numFmt numFmtId="166" formatCode="[h]:mm"/>
    <numFmt numFmtId="167" formatCode="dd\.mm\.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92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0" fontId="5" fillId="0" borderId="1" xfId="0" applyNumberFormat="1" applyFont="1" applyBorder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5" fillId="0" borderId="0" xfId="0" applyFont="1"/>
    <xf numFmtId="0" fontId="8" fillId="3" borderId="8" xfId="0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10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9" fillId="0" borderId="0" xfId="0" quotePrefix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left" vertical="top" wrapText="1"/>
    </xf>
    <xf numFmtId="0" fontId="12" fillId="2" borderId="0" xfId="2" applyFill="1" applyAlignment="1">
      <alignment horizontal="left" vertical="top" wrapText="1"/>
    </xf>
    <xf numFmtId="166" fontId="9" fillId="0" borderId="0" xfId="0" applyNumberFormat="1" applyFont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4" borderId="16" xfId="0" applyFont="1" applyFill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9" fillId="0" borderId="17" xfId="0" applyFont="1" applyBorder="1" applyAlignment="1">
      <alignment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12" fillId="0" borderId="0" xfId="2" applyAlignment="1">
      <alignment horizontal="left" vertical="top" wrapText="1"/>
    </xf>
    <xf numFmtId="0" fontId="0" fillId="0" borderId="0" xfId="0" applyAlignment="1"/>
    <xf numFmtId="167" fontId="0" fillId="0" borderId="0" xfId="0" applyNumberFormat="1"/>
    <xf numFmtId="0" fontId="4" fillId="0" borderId="0" xfId="0" applyFont="1" applyFill="1" applyAlignment="1">
      <alignment vertical="center"/>
    </xf>
    <xf numFmtId="14" fontId="4" fillId="0" borderId="0" xfId="0" applyNumberFormat="1" applyFont="1" applyFill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14" fontId="14" fillId="0" borderId="0" xfId="0" applyNumberFormat="1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5" fillId="4" borderId="20" xfId="0" applyFont="1" applyFill="1" applyBorder="1"/>
    <xf numFmtId="0" fontId="0" fillId="6" borderId="20" xfId="0" applyFont="1" applyFill="1" applyBorder="1"/>
    <xf numFmtId="0" fontId="16" fillId="0" borderId="0" xfId="0" applyFont="1" applyFill="1" applyBorder="1" applyAlignment="1">
      <alignment vertical="center"/>
    </xf>
    <xf numFmtId="14" fontId="17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14" fontId="18" fillId="0" borderId="0" xfId="0" applyNumberFormat="1" applyFont="1" applyFill="1" applyAlignment="1">
      <alignment horizontal="center" vertical="center"/>
    </xf>
  </cellXfs>
  <cellStyles count="3">
    <cellStyle name="Lien hypertexte" xfId="2" builtinId="8"/>
    <cellStyle name="Milliers" xfId="1" builtinId="3"/>
    <cellStyle name="Normal" xfId="0" builtinId="0"/>
  </cellStyles>
  <dxfs count="36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numFmt numFmtId="167" formatCode="dd\.mm\.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D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Production</a:t>
            </a:r>
            <a:r>
              <a:rPr lang="fr-CH" baseline="0"/>
              <a:t> journalière</a:t>
            </a:r>
            <a:endParaRPr lang="fr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682-4080-B483-DB80C9EB4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682-4080-B483-DB80C9EB4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682-4080-B483-DB80C9EB4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682-4080-B483-DB80C9EB4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682-4080-B483-DB80C9EB4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682-4080-B483-DB80C9EB4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'Planning journalier'!$A$7:$A$12</c:f>
              <c:strCache>
                <c:ptCount val="6"/>
                <c:pt idx="0">
                  <c:v>VaoX1-A</c:v>
                </c:pt>
                <c:pt idx="1">
                  <c:v>VaoX1-B</c:v>
                </c:pt>
                <c:pt idx="2">
                  <c:v>VaoX5-A</c:v>
                </c:pt>
                <c:pt idx="3">
                  <c:v>VaoX5-B</c:v>
                </c:pt>
                <c:pt idx="4">
                  <c:v>VaoX5-C</c:v>
                </c:pt>
                <c:pt idx="5">
                  <c:v>VaoX5-D</c:v>
                </c:pt>
              </c:strCache>
            </c:strRef>
          </c:cat>
          <c:val>
            <c:numRef>
              <c:f>'Planning journalier'!$B$7:$B$12</c:f>
              <c:numCache>
                <c:formatCode>General</c:formatCode>
                <c:ptCount val="6"/>
                <c:pt idx="0">
                  <c:v>15</c:v>
                </c:pt>
                <c:pt idx="1">
                  <c:v>13</c:v>
                </c:pt>
                <c:pt idx="2">
                  <c:v>11682</c:v>
                </c:pt>
                <c:pt idx="3">
                  <c:v>11988</c:v>
                </c:pt>
                <c:pt idx="4">
                  <c:v>2500</c:v>
                </c:pt>
                <c:pt idx="5">
                  <c:v>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2-4DBE-96FD-E7BF1EAFF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0602240"/>
        <c:axId val="610604208"/>
        <c:axId val="0"/>
      </c:bar3DChart>
      <c:catAx>
        <c:axId val="6106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4208"/>
        <c:crosses val="autoZero"/>
        <c:auto val="1"/>
        <c:lblAlgn val="ctr"/>
        <c:lblOffset val="100"/>
        <c:noMultiLvlLbl val="0"/>
      </c:catAx>
      <c:valAx>
        <c:axId val="6106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95250</xdr:rowOff>
    </xdr:from>
    <xdr:to>
      <xdr:col>4</xdr:col>
      <xdr:colOff>0</xdr:colOff>
      <xdr:row>38</xdr:row>
      <xdr:rowOff>95251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34</xdr:row>
          <xdr:rowOff>9525</xdr:rowOff>
        </xdr:from>
        <xdr:to>
          <xdr:col>5</xdr:col>
          <xdr:colOff>1638300</xdr:colOff>
          <xdr:row>35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19050</xdr:rowOff>
        </xdr:from>
        <xdr:to>
          <xdr:col>5</xdr:col>
          <xdr:colOff>1628775</xdr:colOff>
          <xdr:row>37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19050</xdr:rowOff>
        </xdr:from>
        <xdr:to>
          <xdr:col>3</xdr:col>
          <xdr:colOff>838200</xdr:colOff>
          <xdr:row>3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0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2</xdr:col>
          <xdr:colOff>542925</xdr:colOff>
          <xdr:row>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200025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du personnel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NC\plan%20jour_ni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Tableau%20de%20bord%20journalier%20septemb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2"/>
    </sheetNames>
    <sheetDataSet>
      <sheetData sheetId="0"/>
      <sheetData sheetId="1">
        <row r="1">
          <cell r="B1" t="str">
            <v>Lundi</v>
          </cell>
        </row>
        <row r="2">
          <cell r="B2" t="str">
            <v>Mardi</v>
          </cell>
        </row>
        <row r="3">
          <cell r="B3" t="str">
            <v>Mercredi</v>
          </cell>
        </row>
        <row r="4">
          <cell r="B4" t="str">
            <v>Jeudi</v>
          </cell>
        </row>
        <row r="5">
          <cell r="B5" t="str">
            <v>Vendredi</v>
          </cell>
        </row>
        <row r="6">
          <cell r="B6" t="str">
            <v>Samedi</v>
          </cell>
        </row>
        <row r="7">
          <cell r="B7" t="str">
            <v>Dimanche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9.2025"/>
      <sheetName val="Listes"/>
    </sheetNames>
    <sheetDataSet>
      <sheetData sheetId="0"/>
      <sheetData sheetId="1">
        <row r="2">
          <cell r="A2" t="str">
            <v>Vaox5-A</v>
          </cell>
          <cell r="B2" t="str">
            <v>Lundi</v>
          </cell>
          <cell r="C2" t="str">
            <v>Christophe</v>
          </cell>
        </row>
        <row r="3">
          <cell r="A3" t="str">
            <v>Vaox5-B</v>
          </cell>
          <cell r="B3" t="str">
            <v>Mardi</v>
          </cell>
          <cell r="C3" t="str">
            <v>Joakim</v>
          </cell>
        </row>
        <row r="4">
          <cell r="A4" t="str">
            <v>Vaox5-C</v>
          </cell>
          <cell r="B4" t="str">
            <v>Mercredi</v>
          </cell>
          <cell r="C4" t="str">
            <v>Pierluigi</v>
          </cell>
        </row>
        <row r="5">
          <cell r="A5" t="str">
            <v>Vaox5-D</v>
          </cell>
          <cell r="B5" t="str">
            <v>Jeudi</v>
          </cell>
          <cell r="C5" t="str">
            <v>Nicola</v>
          </cell>
        </row>
        <row r="6">
          <cell r="A6" t="str">
            <v>Vaox1-A</v>
          </cell>
          <cell r="B6" t="str">
            <v>Vendredi</v>
          </cell>
        </row>
        <row r="7">
          <cell r="A7" t="str">
            <v>Vaox1-B</v>
          </cell>
          <cell r="B7" t="str">
            <v>Samedi</v>
          </cell>
        </row>
        <row r="8">
          <cell r="A8" t="str">
            <v>Akatech</v>
          </cell>
          <cell r="B8" t="str">
            <v>Dimanche</v>
          </cell>
        </row>
        <row r="9">
          <cell r="A9" t="str">
            <v>Armage E0</v>
          </cell>
        </row>
        <row r="10">
          <cell r="A10" t="str">
            <v>Distribution</v>
          </cell>
        </row>
        <row r="11">
          <cell r="A11" t="str">
            <v>Divers</v>
          </cell>
        </row>
        <row r="12">
          <cell r="A12" t="str">
            <v>Formation</v>
          </cell>
        </row>
        <row r="13">
          <cell r="A13" t="str">
            <v>Piquet 1</v>
          </cell>
        </row>
        <row r="14">
          <cell r="A14" t="str">
            <v>Piquet 2</v>
          </cell>
        </row>
      </sheetData>
    </sheetDataSet>
  </externalBook>
</externalLink>
</file>

<file path=xl/tables/table1.xml><?xml version="1.0" encoding="utf-8"?>
<table xmlns="http://schemas.openxmlformats.org/spreadsheetml/2006/main" id="3" name="Planning_Matin" displayName="Planning_Matin" ref="F5:G20" totalsRowShown="0" headerRowBorderDxfId="35" tableBorderDxfId="34" totalsRowBorderDxfId="33">
  <autoFilter ref="F5:G20"/>
  <tableColumns count="2">
    <tableColumn id="1" name="Nom" dataDxfId="32"/>
    <tableColumn id="2" name="Post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lanning_ApresMidi" displayName="Planning_ApresMidi" ref="F23:G27" totalsRowShown="0" headerRowBorderDxfId="30" tableBorderDxfId="29" totalsRowBorderDxfId="28">
  <autoFilter ref="F23:G27"/>
  <tableColumns count="2">
    <tableColumn id="1" name="Nom" dataDxfId="27"/>
    <tableColumn id="2" name="Post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Personnel" displayName="Tbl_Personnel" ref="A1:W38" totalsRowShown="0">
  <autoFilter ref="A1:W38">
    <filterColumn colId="2">
      <filters>
        <filter val="Actif"/>
      </filters>
    </filterColumn>
  </autoFilter>
  <tableColumns count="23">
    <tableColumn id="1" name="ID"/>
    <tableColumn id="2" name="Nom"/>
    <tableColumn id="3" name="Statut"/>
    <tableColumn id="4" name="Type"/>
    <tableColumn id="5" name="Groupe"/>
    <tableColumn id="6" name="Lundi"/>
    <tableColumn id="7" name="Mardi"/>
    <tableColumn id="8" name="Mercredi"/>
    <tableColumn id="9" name="Jeudi"/>
    <tableColumn id="10" name="Vendredi"/>
    <tableColumn id="11" name="Samedi"/>
    <tableColumn id="12" name="Dimanche"/>
    <tableColumn id="13" name="P1"/>
    <tableColumn id="14" name="P2"/>
    <tableColumn id="15" name="P3"/>
    <tableColumn id="16" name="D"/>
    <tableColumn id="17" name="Vaox1"/>
    <tableColumn id="18" name="Stats_A"/>
    <tableColumn id="19" name="Stats_B"/>
    <tableColumn id="20" name="Stats_C"/>
    <tableColumn id="21" name="Stats_D"/>
    <tableColumn id="22" name="Stats_Vaox1"/>
    <tableColumn id="23" name="Stats_EX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_Vacances" displayName="Tbl_Vacances" ref="A1:F30" insertRow="1" totalsRowShown="0">
  <autoFilter ref="A1:F30"/>
  <tableColumns count="6">
    <tableColumn id="1" name="ID_Personne"/>
    <tableColumn id="2" name="Nom"/>
    <tableColumn id="3" name="Date_Debut"/>
    <tableColumn id="4" name="Date_Fin"/>
    <tableColumn id="5" name="Type"/>
    <tableColumn id="6" name="Peri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bl_Feries" displayName="Tbl_Feries" ref="A1:C25" totalsRowShown="0">
  <autoFilter ref="A1:C25"/>
  <sortState ref="A2:C25">
    <sortCondition ref="A1:A25"/>
  </sortState>
  <tableColumns count="3">
    <tableColumn id="1" name="Date"/>
    <tableColumn id="2" name="Nom"/>
    <tableColumn id="3" name="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Dates_Groupes" displayName="Dates_Groupes" ref="A1:D143" totalsRowShown="0">
  <autoFilter ref="A1:D143"/>
  <sortState ref="A2:D143">
    <sortCondition ref="A1:A143"/>
  </sortState>
  <tableColumns count="4">
    <tableColumn id="1" name="Date"/>
    <tableColumn id="2" name="Groupe"/>
    <tableColumn id="3" name="Type"/>
    <tableColumn id="4" name="Modif_Manuell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mplacements" displayName="Tbl_Remplacements" ref="A1:F14" totalsRowShown="0">
  <autoFilter ref="A1:F14"/>
  <tableColumns count="6">
    <tableColumn id="1" name="Date" dataDxfId="25"/>
    <tableColumn id="2" name="ID_Absent"/>
    <tableColumn id="3" name="Nom_Absent"/>
    <tableColumn id="4" name="ID_Remplaçant"/>
    <tableColumn id="5" name="Nom_Remplaçant"/>
    <tableColumn id="6" name="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Tbl_Parametres" displayName="Tbl_Parametres" ref="A1:E6" totalsRowShown="0">
  <autoFilter ref="A1:E6"/>
  <tableColumns count="5">
    <tableColumn id="1" name="Machine"/>
    <tableColumn id="2" name="Seuil_2pers"/>
    <tableColumn id="3" name="Seuil_3pers"/>
    <tableColumn id="4" name="Max"/>
    <tableColumn id="5" name="Fermet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2" Type="http://schemas.openxmlformats.org/officeDocument/2006/relationships/hyperlink" Target="../03_Joakim%20Nicolet-dit-Felix/Planning%20macro/03_Joakim%20Nicolet-dit-Felix/Planning%20macro/01_Pas%20toucher%20!/Archives" TargetMode="External"/><Relationship Id="rId1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P43"/>
  <sheetViews>
    <sheetView tabSelected="1" topLeftCell="A3" workbookViewId="0">
      <selection activeCell="E17" sqref="E17"/>
    </sheetView>
  </sheetViews>
  <sheetFormatPr baseColWidth="10" defaultRowHeight="12.75" x14ac:dyDescent="0.25"/>
  <cols>
    <col min="1" max="1" width="22.7109375" style="1" customWidth="1"/>
    <col min="2" max="4" width="20.7109375" style="3" customWidth="1"/>
    <col min="5" max="5" width="7.140625" style="1" customWidth="1"/>
    <col min="6" max="6" width="26" style="2" bestFit="1" customWidth="1"/>
    <col min="7" max="7" width="26.140625" style="3" bestFit="1" customWidth="1"/>
    <col min="8" max="8" width="6.42578125" style="3" customWidth="1"/>
    <col min="9" max="9" width="23" style="3" customWidth="1"/>
    <col min="10" max="10" width="27" style="3" customWidth="1"/>
    <col min="11" max="11" width="24.42578125" style="3" customWidth="1"/>
    <col min="12" max="12" width="25.7109375" style="3" customWidth="1"/>
    <col min="13" max="13" width="28" style="3" customWidth="1"/>
    <col min="14" max="16" width="11.42578125" style="3" customWidth="1"/>
    <col min="17" max="234" width="11.42578125" style="3"/>
    <col min="235" max="235" width="21.7109375" style="3" customWidth="1"/>
    <col min="236" max="239" width="13.7109375" style="3" customWidth="1"/>
    <col min="240" max="490" width="11.42578125" style="3"/>
    <col min="491" max="491" width="21.7109375" style="3" customWidth="1"/>
    <col min="492" max="495" width="13.7109375" style="3" customWidth="1"/>
    <col min="496" max="746" width="11.42578125" style="3"/>
    <col min="747" max="747" width="21.7109375" style="3" customWidth="1"/>
    <col min="748" max="751" width="13.7109375" style="3" customWidth="1"/>
    <col min="752" max="1002" width="11.42578125" style="3"/>
    <col min="1003" max="1003" width="21.7109375" style="3" customWidth="1"/>
    <col min="1004" max="1007" width="13.7109375" style="3" customWidth="1"/>
    <col min="1008" max="1258" width="11.42578125" style="3"/>
    <col min="1259" max="1259" width="21.7109375" style="3" customWidth="1"/>
    <col min="1260" max="1263" width="13.7109375" style="3" customWidth="1"/>
    <col min="1264" max="1514" width="11.42578125" style="3"/>
    <col min="1515" max="1515" width="21.7109375" style="3" customWidth="1"/>
    <col min="1516" max="1519" width="13.7109375" style="3" customWidth="1"/>
    <col min="1520" max="1770" width="11.42578125" style="3"/>
    <col min="1771" max="1771" width="21.7109375" style="3" customWidth="1"/>
    <col min="1772" max="1775" width="13.7109375" style="3" customWidth="1"/>
    <col min="1776" max="2026" width="11.42578125" style="3"/>
    <col min="2027" max="2027" width="21.7109375" style="3" customWidth="1"/>
    <col min="2028" max="2031" width="13.7109375" style="3" customWidth="1"/>
    <col min="2032" max="2282" width="11.42578125" style="3"/>
    <col min="2283" max="2283" width="21.7109375" style="3" customWidth="1"/>
    <col min="2284" max="2287" width="13.7109375" style="3" customWidth="1"/>
    <col min="2288" max="2538" width="11.42578125" style="3"/>
    <col min="2539" max="2539" width="21.7109375" style="3" customWidth="1"/>
    <col min="2540" max="2543" width="13.7109375" style="3" customWidth="1"/>
    <col min="2544" max="2794" width="11.42578125" style="3"/>
    <col min="2795" max="2795" width="21.7109375" style="3" customWidth="1"/>
    <col min="2796" max="2799" width="13.7109375" style="3" customWidth="1"/>
    <col min="2800" max="3050" width="11.42578125" style="3"/>
    <col min="3051" max="3051" width="21.7109375" style="3" customWidth="1"/>
    <col min="3052" max="3055" width="13.7109375" style="3" customWidth="1"/>
    <col min="3056" max="3306" width="11.42578125" style="3"/>
    <col min="3307" max="3307" width="21.7109375" style="3" customWidth="1"/>
    <col min="3308" max="3311" width="13.7109375" style="3" customWidth="1"/>
    <col min="3312" max="3562" width="11.42578125" style="3"/>
    <col min="3563" max="3563" width="21.7109375" style="3" customWidth="1"/>
    <col min="3564" max="3567" width="13.7109375" style="3" customWidth="1"/>
    <col min="3568" max="3818" width="11.42578125" style="3"/>
    <col min="3819" max="3819" width="21.7109375" style="3" customWidth="1"/>
    <col min="3820" max="3823" width="13.7109375" style="3" customWidth="1"/>
    <col min="3824" max="4074" width="11.42578125" style="3"/>
    <col min="4075" max="4075" width="21.7109375" style="3" customWidth="1"/>
    <col min="4076" max="4079" width="13.7109375" style="3" customWidth="1"/>
    <col min="4080" max="4330" width="11.42578125" style="3"/>
    <col min="4331" max="4331" width="21.7109375" style="3" customWidth="1"/>
    <col min="4332" max="4335" width="13.7109375" style="3" customWidth="1"/>
    <col min="4336" max="4586" width="11.42578125" style="3"/>
    <col min="4587" max="4587" width="21.7109375" style="3" customWidth="1"/>
    <col min="4588" max="4591" width="13.7109375" style="3" customWidth="1"/>
    <col min="4592" max="4842" width="11.42578125" style="3"/>
    <col min="4843" max="4843" width="21.7109375" style="3" customWidth="1"/>
    <col min="4844" max="4847" width="13.7109375" style="3" customWidth="1"/>
    <col min="4848" max="5098" width="11.42578125" style="3"/>
    <col min="5099" max="5099" width="21.7109375" style="3" customWidth="1"/>
    <col min="5100" max="5103" width="13.7109375" style="3" customWidth="1"/>
    <col min="5104" max="5354" width="11.42578125" style="3"/>
    <col min="5355" max="5355" width="21.7109375" style="3" customWidth="1"/>
    <col min="5356" max="5359" width="13.7109375" style="3" customWidth="1"/>
    <col min="5360" max="5610" width="11.42578125" style="3"/>
    <col min="5611" max="5611" width="21.7109375" style="3" customWidth="1"/>
    <col min="5612" max="5615" width="13.7109375" style="3" customWidth="1"/>
    <col min="5616" max="5866" width="11.42578125" style="3"/>
    <col min="5867" max="5867" width="21.7109375" style="3" customWidth="1"/>
    <col min="5868" max="5871" width="13.7109375" style="3" customWidth="1"/>
    <col min="5872" max="6122" width="11.42578125" style="3"/>
    <col min="6123" max="6123" width="21.7109375" style="3" customWidth="1"/>
    <col min="6124" max="6127" width="13.7109375" style="3" customWidth="1"/>
    <col min="6128" max="6378" width="11.42578125" style="3"/>
    <col min="6379" max="6379" width="21.7109375" style="3" customWidth="1"/>
    <col min="6380" max="6383" width="13.7109375" style="3" customWidth="1"/>
    <col min="6384" max="6634" width="11.42578125" style="3"/>
    <col min="6635" max="6635" width="21.7109375" style="3" customWidth="1"/>
    <col min="6636" max="6639" width="13.7109375" style="3" customWidth="1"/>
    <col min="6640" max="6890" width="11.42578125" style="3"/>
    <col min="6891" max="6891" width="21.7109375" style="3" customWidth="1"/>
    <col min="6892" max="6895" width="13.7109375" style="3" customWidth="1"/>
    <col min="6896" max="7146" width="11.42578125" style="3"/>
    <col min="7147" max="7147" width="21.7109375" style="3" customWidth="1"/>
    <col min="7148" max="7151" width="13.7109375" style="3" customWidth="1"/>
    <col min="7152" max="7402" width="11.42578125" style="3"/>
    <col min="7403" max="7403" width="21.7109375" style="3" customWidth="1"/>
    <col min="7404" max="7407" width="13.7109375" style="3" customWidth="1"/>
    <col min="7408" max="7658" width="11.42578125" style="3"/>
    <col min="7659" max="7659" width="21.7109375" style="3" customWidth="1"/>
    <col min="7660" max="7663" width="13.7109375" style="3" customWidth="1"/>
    <col min="7664" max="7914" width="11.42578125" style="3"/>
    <col min="7915" max="7915" width="21.7109375" style="3" customWidth="1"/>
    <col min="7916" max="7919" width="13.7109375" style="3" customWidth="1"/>
    <col min="7920" max="8170" width="11.42578125" style="3"/>
    <col min="8171" max="8171" width="21.7109375" style="3" customWidth="1"/>
    <col min="8172" max="8175" width="13.7109375" style="3" customWidth="1"/>
    <col min="8176" max="8426" width="11.42578125" style="3"/>
    <col min="8427" max="8427" width="21.7109375" style="3" customWidth="1"/>
    <col min="8428" max="8431" width="13.7109375" style="3" customWidth="1"/>
    <col min="8432" max="8682" width="11.42578125" style="3"/>
    <col min="8683" max="8683" width="21.7109375" style="3" customWidth="1"/>
    <col min="8684" max="8687" width="13.7109375" style="3" customWidth="1"/>
    <col min="8688" max="8938" width="11.42578125" style="3"/>
    <col min="8939" max="8939" width="21.7109375" style="3" customWidth="1"/>
    <col min="8940" max="8943" width="13.7109375" style="3" customWidth="1"/>
    <col min="8944" max="9194" width="11.42578125" style="3"/>
    <col min="9195" max="9195" width="21.7109375" style="3" customWidth="1"/>
    <col min="9196" max="9199" width="13.7109375" style="3" customWidth="1"/>
    <col min="9200" max="9450" width="11.42578125" style="3"/>
    <col min="9451" max="9451" width="21.7109375" style="3" customWidth="1"/>
    <col min="9452" max="9455" width="13.7109375" style="3" customWidth="1"/>
    <col min="9456" max="9706" width="11.42578125" style="3"/>
    <col min="9707" max="9707" width="21.7109375" style="3" customWidth="1"/>
    <col min="9708" max="9711" width="13.7109375" style="3" customWidth="1"/>
    <col min="9712" max="9962" width="11.42578125" style="3"/>
    <col min="9963" max="9963" width="21.7109375" style="3" customWidth="1"/>
    <col min="9964" max="9967" width="13.7109375" style="3" customWidth="1"/>
    <col min="9968" max="10218" width="11.42578125" style="3"/>
    <col min="10219" max="10219" width="21.7109375" style="3" customWidth="1"/>
    <col min="10220" max="10223" width="13.7109375" style="3" customWidth="1"/>
    <col min="10224" max="10474" width="11.42578125" style="3"/>
    <col min="10475" max="10475" width="21.7109375" style="3" customWidth="1"/>
    <col min="10476" max="10479" width="13.7109375" style="3" customWidth="1"/>
    <col min="10480" max="10730" width="11.42578125" style="3"/>
    <col min="10731" max="10731" width="21.7109375" style="3" customWidth="1"/>
    <col min="10732" max="10735" width="13.7109375" style="3" customWidth="1"/>
    <col min="10736" max="10986" width="11.42578125" style="3"/>
    <col min="10987" max="10987" width="21.7109375" style="3" customWidth="1"/>
    <col min="10988" max="10991" width="13.7109375" style="3" customWidth="1"/>
    <col min="10992" max="11242" width="11.42578125" style="3"/>
    <col min="11243" max="11243" width="21.7109375" style="3" customWidth="1"/>
    <col min="11244" max="11247" width="13.7109375" style="3" customWidth="1"/>
    <col min="11248" max="11498" width="11.42578125" style="3"/>
    <col min="11499" max="11499" width="21.7109375" style="3" customWidth="1"/>
    <col min="11500" max="11503" width="13.7109375" style="3" customWidth="1"/>
    <col min="11504" max="11754" width="11.42578125" style="3"/>
    <col min="11755" max="11755" width="21.7109375" style="3" customWidth="1"/>
    <col min="11756" max="11759" width="13.7109375" style="3" customWidth="1"/>
    <col min="11760" max="12010" width="11.42578125" style="3"/>
    <col min="12011" max="12011" width="21.7109375" style="3" customWidth="1"/>
    <col min="12012" max="12015" width="13.7109375" style="3" customWidth="1"/>
    <col min="12016" max="12266" width="11.42578125" style="3"/>
    <col min="12267" max="12267" width="21.7109375" style="3" customWidth="1"/>
    <col min="12268" max="12271" width="13.7109375" style="3" customWidth="1"/>
    <col min="12272" max="12522" width="11.42578125" style="3"/>
    <col min="12523" max="12523" width="21.7109375" style="3" customWidth="1"/>
    <col min="12524" max="12527" width="13.7109375" style="3" customWidth="1"/>
    <col min="12528" max="12778" width="11.42578125" style="3"/>
    <col min="12779" max="12779" width="21.7109375" style="3" customWidth="1"/>
    <col min="12780" max="12783" width="13.7109375" style="3" customWidth="1"/>
    <col min="12784" max="13034" width="11.42578125" style="3"/>
    <col min="13035" max="13035" width="21.7109375" style="3" customWidth="1"/>
    <col min="13036" max="13039" width="13.7109375" style="3" customWidth="1"/>
    <col min="13040" max="13290" width="11.42578125" style="3"/>
    <col min="13291" max="13291" width="21.7109375" style="3" customWidth="1"/>
    <col min="13292" max="13295" width="13.7109375" style="3" customWidth="1"/>
    <col min="13296" max="13546" width="11.42578125" style="3"/>
    <col min="13547" max="13547" width="21.7109375" style="3" customWidth="1"/>
    <col min="13548" max="13551" width="13.7109375" style="3" customWidth="1"/>
    <col min="13552" max="13802" width="11.42578125" style="3"/>
    <col min="13803" max="13803" width="21.7109375" style="3" customWidth="1"/>
    <col min="13804" max="13807" width="13.7109375" style="3" customWidth="1"/>
    <col min="13808" max="14058" width="11.42578125" style="3"/>
    <col min="14059" max="14059" width="21.7109375" style="3" customWidth="1"/>
    <col min="14060" max="14063" width="13.7109375" style="3" customWidth="1"/>
    <col min="14064" max="14314" width="11.42578125" style="3"/>
    <col min="14315" max="14315" width="21.7109375" style="3" customWidth="1"/>
    <col min="14316" max="14319" width="13.7109375" style="3" customWidth="1"/>
    <col min="14320" max="14570" width="11.42578125" style="3"/>
    <col min="14571" max="14571" width="21.7109375" style="3" customWidth="1"/>
    <col min="14572" max="14575" width="13.7109375" style="3" customWidth="1"/>
    <col min="14576" max="14826" width="11.42578125" style="3"/>
    <col min="14827" max="14827" width="21.7109375" style="3" customWidth="1"/>
    <col min="14828" max="14831" width="13.7109375" style="3" customWidth="1"/>
    <col min="14832" max="15082" width="11.42578125" style="3"/>
    <col min="15083" max="15083" width="21.7109375" style="3" customWidth="1"/>
    <col min="15084" max="15087" width="13.7109375" style="3" customWidth="1"/>
    <col min="15088" max="15338" width="11.42578125" style="3"/>
    <col min="15339" max="15339" width="21.7109375" style="3" customWidth="1"/>
    <col min="15340" max="15343" width="13.7109375" style="3" customWidth="1"/>
    <col min="15344" max="15594" width="11.42578125" style="3"/>
    <col min="15595" max="15595" width="21.7109375" style="3" customWidth="1"/>
    <col min="15596" max="15599" width="13.7109375" style="3" customWidth="1"/>
    <col min="15600" max="15850" width="11.42578125" style="3"/>
    <col min="15851" max="15851" width="21.7109375" style="3" customWidth="1"/>
    <col min="15852" max="15855" width="13.7109375" style="3" customWidth="1"/>
    <col min="15856" max="16106" width="11.42578125" style="3"/>
    <col min="16107" max="16107" width="21.7109375" style="3" customWidth="1"/>
    <col min="16108" max="16111" width="13.7109375" style="3" customWidth="1"/>
    <col min="16112" max="16384" width="11.42578125" style="3"/>
  </cols>
  <sheetData>
    <row r="1" spans="1:11" ht="16.5" hidden="1" customHeight="1" x14ac:dyDescent="0.3">
      <c r="A1" s="53"/>
      <c r="B1" s="53"/>
      <c r="C1" s="53"/>
      <c r="D1" s="53"/>
      <c r="E1" s="53"/>
      <c r="F1" s="53" t="s">
        <v>12</v>
      </c>
      <c r="G1" s="53"/>
      <c r="H1" s="53"/>
      <c r="I1" s="53"/>
      <c r="J1" s="53"/>
    </row>
    <row r="2" spans="1:11" ht="28.5" hidden="1" customHeight="1" thickBot="1" x14ac:dyDescent="0.35">
      <c r="D2" s="29"/>
      <c r="E2" s="29"/>
      <c r="F2" s="30" t="s">
        <v>12</v>
      </c>
      <c r="G2" s="31"/>
    </row>
    <row r="3" spans="1:11" s="7" customFormat="1" ht="15.95" customHeight="1" thickTop="1" thickBot="1" x14ac:dyDescent="0.3">
      <c r="A3" s="55" t="str">
        <f>IF(WEEKDAY('Planning journalier'!B3,2)=1,"Lundi",IF(WEEKDAY('Planning journalier'!B3,2)=2,"Mardi",IF(WEEKDAY('Planning journalier'!B3,2)=3,"Mercredi",IF(WEEKDAY('Planning journalier'!B3,2)=4,"Jeudi",IF(WEEKDAY('Planning journalier'!B3,2)=5,"Vendredi",IF(WEEKDAY('Planning journalier'!B3,2)=6,"Samedi",IF(WEEKDAY('Planning journalier'!B3,2)=7,"Dimanche","Erreur de frappe")))))))</f>
        <v>Jeudi</v>
      </c>
      <c r="B3" s="45">
        <v>46184</v>
      </c>
      <c r="D3" s="5"/>
      <c r="E3" s="4"/>
      <c r="F3" s="6"/>
    </row>
    <row r="4" spans="1:11" s="7" customFormat="1" ht="15.95" customHeight="1" thickTop="1" x14ac:dyDescent="0.2">
      <c r="A4" s="32"/>
      <c r="B4" s="32"/>
      <c r="C4" s="32"/>
      <c r="D4" s="32"/>
      <c r="E4" s="32"/>
      <c r="F4" s="8" t="s">
        <v>38</v>
      </c>
    </row>
    <row r="5" spans="1:11" s="7" customFormat="1" ht="15.95" customHeight="1" x14ac:dyDescent="0.2">
      <c r="A5" s="32"/>
      <c r="B5" s="82" t="s">
        <v>28</v>
      </c>
      <c r="C5" s="83"/>
      <c r="D5" s="84"/>
      <c r="E5" s="9"/>
      <c r="F5" s="65" t="s">
        <v>68</v>
      </c>
      <c r="G5" s="66" t="s">
        <v>65</v>
      </c>
      <c r="K5" s="47"/>
    </row>
    <row r="6" spans="1:11" s="7" customFormat="1" ht="15.95" customHeight="1" x14ac:dyDescent="0.25">
      <c r="A6" s="10" t="s">
        <v>76</v>
      </c>
      <c r="B6" s="11" t="s">
        <v>63</v>
      </c>
      <c r="C6" s="11" t="s">
        <v>207</v>
      </c>
      <c r="D6" s="11" t="s">
        <v>29</v>
      </c>
      <c r="E6" s="12"/>
      <c r="F6" s="62" t="s">
        <v>13</v>
      </c>
      <c r="G6" s="64" t="s">
        <v>0</v>
      </c>
      <c r="K6" s="47"/>
    </row>
    <row r="7" spans="1:11" s="7" customFormat="1" ht="15.95" customHeight="1" x14ac:dyDescent="0.25">
      <c r="A7" s="13" t="s">
        <v>30</v>
      </c>
      <c r="B7" s="14">
        <v>15</v>
      </c>
      <c r="C7" s="14">
        <v>0</v>
      </c>
      <c r="D7" s="14">
        <v>0</v>
      </c>
      <c r="E7" s="12"/>
      <c r="F7" s="62" t="s">
        <v>9</v>
      </c>
      <c r="G7" s="64" t="s">
        <v>1</v>
      </c>
    </row>
    <row r="8" spans="1:11" s="7" customFormat="1" ht="15.95" customHeight="1" x14ac:dyDescent="0.25">
      <c r="A8" s="13" t="s">
        <v>31</v>
      </c>
      <c r="B8" s="14">
        <v>13</v>
      </c>
      <c r="C8" s="14">
        <v>0</v>
      </c>
      <c r="D8" s="14">
        <v>0</v>
      </c>
      <c r="E8" s="15"/>
      <c r="F8" s="62" t="s">
        <v>16</v>
      </c>
      <c r="G8" s="64" t="s">
        <v>2</v>
      </c>
    </row>
    <row r="9" spans="1:11" s="7" customFormat="1" ht="15.95" customHeight="1" x14ac:dyDescent="0.25">
      <c r="A9" s="16" t="s">
        <v>32</v>
      </c>
      <c r="B9" s="14">
        <v>11682</v>
      </c>
      <c r="C9" s="14">
        <v>0</v>
      </c>
      <c r="D9" s="14">
        <v>0</v>
      </c>
      <c r="E9" s="15"/>
      <c r="F9" s="80" t="s">
        <v>14</v>
      </c>
      <c r="G9" s="64" t="s">
        <v>3</v>
      </c>
    </row>
    <row r="10" spans="1:11" s="7" customFormat="1" ht="15.95" customHeight="1" x14ac:dyDescent="0.25">
      <c r="A10" s="16" t="s">
        <v>33</v>
      </c>
      <c r="B10" s="14">
        <v>11988</v>
      </c>
      <c r="C10" s="14">
        <v>0</v>
      </c>
      <c r="D10" s="14">
        <v>0</v>
      </c>
      <c r="E10" s="15"/>
      <c r="F10" s="62" t="s">
        <v>18</v>
      </c>
      <c r="G10" s="64" t="s">
        <v>4</v>
      </c>
    </row>
    <row r="11" spans="1:11" s="7" customFormat="1" ht="15.95" customHeight="1" x14ac:dyDescent="0.25">
      <c r="A11" s="16" t="s">
        <v>34</v>
      </c>
      <c r="B11" s="17">
        <v>2500</v>
      </c>
      <c r="C11" s="14">
        <v>0</v>
      </c>
      <c r="D11" s="14">
        <v>0</v>
      </c>
      <c r="E11" s="15"/>
      <c r="F11" s="62" t="s">
        <v>11</v>
      </c>
      <c r="G11" s="64" t="s">
        <v>5</v>
      </c>
    </row>
    <row r="12" spans="1:11" s="7" customFormat="1" ht="15.95" customHeight="1" x14ac:dyDescent="0.25">
      <c r="A12" s="16" t="s">
        <v>35</v>
      </c>
      <c r="B12" s="14">
        <v>3117</v>
      </c>
      <c r="C12" s="14">
        <v>0</v>
      </c>
      <c r="D12" s="14">
        <v>0</v>
      </c>
      <c r="E12" s="15"/>
      <c r="F12" s="62" t="s">
        <v>17</v>
      </c>
      <c r="G12" s="64" t="s">
        <v>6</v>
      </c>
    </row>
    <row r="13" spans="1:11" s="7" customFormat="1" ht="15.95" customHeight="1" x14ac:dyDescent="0.25">
      <c r="A13" s="13" t="s">
        <v>36</v>
      </c>
      <c r="B13" s="18">
        <f>SUM(B7:B12)</f>
        <v>29315</v>
      </c>
      <c r="C13" s="18">
        <f>SUM(C7:C12)</f>
        <v>0</v>
      </c>
      <c r="D13" s="18">
        <f>SUM(D7:D12)</f>
        <v>0</v>
      </c>
      <c r="E13" s="15"/>
      <c r="F13" s="62" t="s">
        <v>8</v>
      </c>
      <c r="G13" s="64" t="s">
        <v>7</v>
      </c>
    </row>
    <row r="14" spans="1:11" s="7" customFormat="1" ht="15.95" customHeight="1" x14ac:dyDescent="0.25">
      <c r="E14" s="15"/>
      <c r="F14" s="62" t="s">
        <v>12</v>
      </c>
      <c r="G14" s="64" t="s">
        <v>160</v>
      </c>
    </row>
    <row r="15" spans="1:11" s="7" customFormat="1" ht="15.95" customHeight="1" x14ac:dyDescent="0.25">
      <c r="A15" s="20"/>
      <c r="B15" s="21" t="s">
        <v>113</v>
      </c>
      <c r="C15" s="11" t="s">
        <v>112</v>
      </c>
      <c r="D15" s="11" t="s">
        <v>37</v>
      </c>
      <c r="E15" s="19"/>
      <c r="F15" s="62"/>
      <c r="G15" s="64"/>
    </row>
    <row r="16" spans="1:11" s="7" customFormat="1" ht="15.75" x14ac:dyDescent="0.25">
      <c r="A16" s="22" t="s">
        <v>58</v>
      </c>
      <c r="B16" s="23">
        <v>3912</v>
      </c>
      <c r="C16" s="23">
        <v>0</v>
      </c>
      <c r="D16" s="24">
        <f>SUM(B16:C16)</f>
        <v>3912</v>
      </c>
      <c r="F16" s="62"/>
      <c r="G16" s="64"/>
    </row>
    <row r="17" spans="1:16" s="7" customFormat="1" ht="15.95" customHeight="1" x14ac:dyDescent="0.25">
      <c r="A17" s="22" t="s">
        <v>59</v>
      </c>
      <c r="B17" s="23">
        <v>4355</v>
      </c>
      <c r="C17" s="25">
        <v>959</v>
      </c>
      <c r="D17" s="26">
        <f>SUM(B17:C17)</f>
        <v>5314</v>
      </c>
      <c r="F17" s="62"/>
      <c r="G17" s="64"/>
      <c r="I17" s="20"/>
    </row>
    <row r="18" spans="1:16" s="7" customFormat="1" ht="15.95" customHeight="1" thickBot="1" x14ac:dyDescent="0.3">
      <c r="F18" s="62"/>
      <c r="G18" s="64"/>
    </row>
    <row r="19" spans="1:16" s="7" customFormat="1" ht="15.95" customHeight="1" x14ac:dyDescent="0.2">
      <c r="A19" s="33" t="s">
        <v>64</v>
      </c>
      <c r="B19" s="34"/>
      <c r="C19" s="35"/>
      <c r="D19" s="36"/>
      <c r="E19" s="32"/>
      <c r="F19" s="63"/>
      <c r="G19" s="64"/>
    </row>
    <row r="20" spans="1:16" s="7" customFormat="1" ht="15.95" customHeight="1" x14ac:dyDescent="0.25">
      <c r="A20" s="37"/>
      <c r="B20" s="27"/>
      <c r="C20" s="38"/>
      <c r="D20" s="39"/>
      <c r="E20" s="4"/>
      <c r="F20" s="67"/>
      <c r="G20" s="68"/>
    </row>
    <row r="21" spans="1:16" s="7" customFormat="1" ht="15.95" customHeight="1" x14ac:dyDescent="0.25">
      <c r="A21" s="40"/>
      <c r="B21" s="27"/>
      <c r="C21" s="38"/>
      <c r="D21" s="39"/>
      <c r="E21" s="28"/>
      <c r="F21" s="49"/>
      <c r="G21" s="49"/>
    </row>
    <row r="22" spans="1:16" s="7" customFormat="1" ht="15.95" customHeight="1" x14ac:dyDescent="0.25">
      <c r="A22" s="37"/>
      <c r="B22" s="27"/>
      <c r="C22" s="27"/>
      <c r="D22" s="41"/>
      <c r="E22" s="60"/>
      <c r="F22" s="54" t="s">
        <v>57</v>
      </c>
      <c r="G22" s="50"/>
      <c r="H22" s="61"/>
    </row>
    <row r="23" spans="1:16" s="4" customFormat="1" ht="15.75" customHeight="1" thickBot="1" x14ac:dyDescent="0.3">
      <c r="A23" s="42"/>
      <c r="B23" s="43"/>
      <c r="C23" s="43"/>
      <c r="D23" s="44"/>
      <c r="F23" s="65" t="s">
        <v>68</v>
      </c>
      <c r="G23" s="66" t="s">
        <v>65</v>
      </c>
      <c r="H23" s="7"/>
      <c r="I23" s="7"/>
      <c r="J23" s="7"/>
      <c r="K23" s="7"/>
      <c r="L23" s="7"/>
      <c r="M23" s="7"/>
      <c r="N23" s="7"/>
      <c r="O23" s="7"/>
      <c r="P23" s="7"/>
    </row>
    <row r="24" spans="1:16" s="7" customFormat="1" ht="15" x14ac:dyDescent="0.25">
      <c r="A24" s="4"/>
      <c r="E24" s="4"/>
      <c r="F24" s="62" t="s">
        <v>12</v>
      </c>
      <c r="G24" s="70"/>
    </row>
    <row r="25" spans="1:16" s="7" customFormat="1" ht="15" x14ac:dyDescent="0.25">
      <c r="A25" s="4"/>
      <c r="E25" s="4"/>
      <c r="F25" s="69"/>
      <c r="G25" s="70"/>
    </row>
    <row r="26" spans="1:16" s="7" customFormat="1" ht="16.5" customHeight="1" x14ac:dyDescent="0.25">
      <c r="D26" s="47"/>
      <c r="E26" s="4"/>
      <c r="F26" s="76"/>
      <c r="G26" s="77"/>
      <c r="I26" s="20"/>
    </row>
    <row r="27" spans="1:16" s="7" customFormat="1" ht="16.5" customHeight="1" x14ac:dyDescent="0.25">
      <c r="D27" s="47"/>
      <c r="E27" s="4"/>
      <c r="F27" s="78"/>
      <c r="G27" s="79"/>
      <c r="I27" s="20"/>
    </row>
    <row r="28" spans="1:16" s="7" customFormat="1" ht="16.5" customHeight="1" x14ac:dyDescent="0.25">
      <c r="D28" s="47"/>
      <c r="E28" s="4"/>
      <c r="F28" s="46" t="s">
        <v>66</v>
      </c>
      <c r="G28" s="47" t="s">
        <v>60</v>
      </c>
    </row>
    <row r="29" spans="1:16" s="7" customFormat="1" ht="16.5" customHeight="1" x14ac:dyDescent="0.25">
      <c r="A29" s="4"/>
      <c r="E29" s="4"/>
      <c r="F29" s="46" t="s">
        <v>67</v>
      </c>
      <c r="G29" s="47" t="s">
        <v>74</v>
      </c>
    </row>
    <row r="30" spans="1:16" ht="16.5" customHeight="1" x14ac:dyDescent="0.25">
      <c r="F30" s="7"/>
      <c r="G30" s="7"/>
    </row>
    <row r="31" spans="1:16" ht="16.5" customHeight="1" x14ac:dyDescent="0.25">
      <c r="F31" s="46" t="s">
        <v>75</v>
      </c>
      <c r="G31" s="61">
        <v>46182.45890046296</v>
      </c>
    </row>
    <row r="32" spans="1:16" ht="16.5" customHeight="1" x14ac:dyDescent="0.25">
      <c r="F32" s="88" t="s">
        <v>206</v>
      </c>
      <c r="G32" s="89">
        <v>46182</v>
      </c>
    </row>
    <row r="33" spans="3:7" ht="16.5" customHeight="1" x14ac:dyDescent="0.25">
      <c r="F33" s="90" t="s">
        <v>270</v>
      </c>
      <c r="G33" s="91">
        <v>46181</v>
      </c>
    </row>
    <row r="34" spans="3:7" ht="16.5" customHeight="1" x14ac:dyDescent="0.25"/>
    <row r="35" spans="3:7" ht="16.5" customHeight="1" x14ac:dyDescent="0.25"/>
    <row r="36" spans="3:7" ht="16.5" customHeight="1" x14ac:dyDescent="0.25"/>
    <row r="37" spans="3:7" ht="16.5" customHeight="1" x14ac:dyDescent="0.25"/>
    <row r="38" spans="3:7" ht="16.5" customHeight="1" x14ac:dyDescent="0.25"/>
    <row r="39" spans="3:7" ht="16.5" customHeight="1" x14ac:dyDescent="0.25"/>
    <row r="41" spans="3:7" x14ac:dyDescent="0.25">
      <c r="C41" s="1"/>
    </row>
    <row r="43" spans="3:7" x14ac:dyDescent="0.25">
      <c r="G43" s="3" t="s">
        <v>293</v>
      </c>
    </row>
  </sheetData>
  <mergeCells count="1">
    <mergeCell ref="B5:D5"/>
  </mergeCells>
  <conditionalFormatting sqref="A60:XFD1048576 A59:B59 D59:XFD59 A2:XFD2 A29:E31 C32:E32 A32 L5:XFD6 A1 K1:XFD1 A33:E33 A36:XFD58 C34:E34 A35:E35 A24:E25 D26:E28 A15:D17 E21:E23 A19:D23 A5:H5 E16:XFD20 K7:XFD8 A4:XFD4 B3:XFD3 E7:E15 J9:XFD15 A7:D13 A6:E6 G6:H15 H21:XFD35 F23:G31">
    <cfRule type="containsText" dxfId="24" priority="36" operator="containsText" text="Vaox1">
      <formula>NOT(ISERROR(SEARCH("Vaox1",A1)))</formula>
    </cfRule>
    <cfRule type="containsText" dxfId="23" priority="37" operator="containsText" text="Vaox5-D">
      <formula>NOT(ISERROR(SEARCH("Vaox5-D",A1)))</formula>
    </cfRule>
    <cfRule type="containsText" dxfId="22" priority="38" operator="containsText" text="Vaox5-C">
      <formula>NOT(ISERROR(SEARCH("Vaox5-C",A1)))</formula>
    </cfRule>
    <cfRule type="containsText" dxfId="21" priority="39" operator="containsText" text="Vaox5-B">
      <formula>NOT(ISERROR(SEARCH("Vaox5-B",A1)))</formula>
    </cfRule>
    <cfRule type="containsText" dxfId="20" priority="40" operator="containsText" text="Vaox5-A">
      <formula>NOT(ISERROR(SEARCH("Vaox5-A",A1)))</formula>
    </cfRule>
  </conditionalFormatting>
  <conditionalFormatting sqref="A3">
    <cfRule type="containsText" dxfId="19" priority="21" operator="containsText" text="Vaox1">
      <formula>NOT(ISERROR(SEARCH("Vaox1",A3)))</formula>
    </cfRule>
    <cfRule type="containsText" dxfId="18" priority="22" operator="containsText" text="Vaox5-D">
      <formula>NOT(ISERROR(SEARCH("Vaox5-D",A3)))</formula>
    </cfRule>
    <cfRule type="containsText" dxfId="17" priority="23" operator="containsText" text="Vaox5-C">
      <formula>NOT(ISERROR(SEARCH("Vaox5-C",A3)))</formula>
    </cfRule>
    <cfRule type="containsText" dxfId="16" priority="24" operator="containsText" text="Vaox5-B">
      <formula>NOT(ISERROR(SEARCH("Vaox5-B",A3)))</formula>
    </cfRule>
    <cfRule type="containsText" dxfId="15" priority="25" operator="containsText" text="Vaox5-A">
      <formula>NOT(ISERROR(SEARCH("Vaox5-A",A3)))</formula>
    </cfRule>
  </conditionalFormatting>
  <conditionalFormatting sqref="F6:G20">
    <cfRule type="containsText" dxfId="14" priority="11" operator="containsText" text="Vaox1">
      <formula>NOT(ISERROR(SEARCH("Vaox1",G6)))</formula>
    </cfRule>
    <cfRule type="containsText" dxfId="13" priority="12" operator="containsText" text="Vaox5-D">
      <formula>NOT(ISERROR(SEARCH("Vaox5-D",G6)))</formula>
    </cfRule>
    <cfRule type="containsText" dxfId="12" priority="13" operator="containsText" text="Vaox5-C">
      <formula>NOT(ISERROR(SEARCH("Vaox5-C",G6)))</formula>
    </cfRule>
    <cfRule type="containsText" dxfId="11" priority="14" operator="containsText" text="Vaox5-B">
      <formula>NOT(ISERROR(SEARCH("Vaox5-B",G6)))</formula>
    </cfRule>
    <cfRule type="containsText" dxfId="10" priority="15" operator="containsText" text="Vaox5-A">
      <formula>NOT(ISERROR(SEARCH("Vaox5-A",G6)))</formula>
    </cfRule>
  </conditionalFormatting>
  <conditionalFormatting sqref="F23:G27">
    <cfRule type="containsText" dxfId="4" priority="101" operator="containsText" text="Vaox1">
      <formula>NOT(ISERROR(SEARCH("Vaox1",G23)))</formula>
    </cfRule>
    <cfRule type="containsText" dxfId="3" priority="102" operator="containsText" text="Vaox5-D">
      <formula>NOT(ISERROR(SEARCH("Vaox5-D",G23)))</formula>
    </cfRule>
    <cfRule type="containsText" dxfId="2" priority="103" operator="containsText" text="Vaox5-C">
      <formula>NOT(ISERROR(SEARCH("Vaox5-C",G23)))</formula>
    </cfRule>
    <cfRule type="containsText" dxfId="1" priority="104" operator="containsText" text="Vaox5-B">
      <formula>NOT(ISERROR(SEARCH("Vaox5-B",G23)))</formula>
    </cfRule>
    <cfRule type="containsText" dxfId="0" priority="105" operator="containsText" text="Vaox5-A">
      <formula>NOT(ISERROR(SEARCH("Vaox5-A",G23)))</formula>
    </cfRule>
  </conditionalFormatting>
  <dataValidations count="2">
    <dataValidation type="list" allowBlank="1" showInputMessage="1" showErrorMessage="1" errorTitle="Poste invalide" error="Choisissez un poste dans la liste (ou laissez vide)." promptTitle="Poste" prompt="Sélectionnez le poste dans la liste." sqref="G6:G20 G23:G27">
      <formula1>"Vaox1 A&amp;B,Vaox5-A 1,Vaox5-A 2,Vaox5-A 3,Vaox5-B 1,Vaox5-B 2,Vaox5-B 3,Vaox5-C 1,Vaox5-C 2,Vaox5-C 3,Vaox5-D 1,Vaox5-D 2,Vaox5-D 3,Expedition"</formula1>
    </dataValidation>
    <dataValidation type="list" allowBlank="1" showInputMessage="1" showErrorMessage="1" errorTitle="Nom invalide" error="Choisissez un nom dans la liste du personnel." promptTitle="Nom" prompt="Sélectionnez la personne dans la liste." sqref="F24:F27">
      <formula1>Tbl_Personnel[Nom]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7" orientation="landscape" r:id="rId1"/>
  <headerFooter>
    <oddHeader>&amp;C&amp;"-,Gras"&amp;20Planning journalier</oddHeader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erPlanning">
                <anchor moveWithCells="1" sizeWithCells="1">
                  <from>
                    <xdr:col>5</xdr:col>
                    <xdr:colOff>19050</xdr:colOff>
                    <xdr:row>34</xdr:row>
                    <xdr:rowOff>9525</xdr:rowOff>
                  </from>
                  <to>
                    <xdr:col>5</xdr:col>
                    <xdr:colOff>1638300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mprimerPlanning">
                <anchor moveWithCells="1">
                  <from>
                    <xdr:col>5</xdr:col>
                    <xdr:colOff>9525</xdr:colOff>
                    <xdr:row>36</xdr:row>
                    <xdr:rowOff>19050</xdr:rowOff>
                  </from>
                  <to>
                    <xdr:col>5</xdr:col>
                    <xdr:colOff>1628775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ateAujourdhui">
                <anchor moveWithCells="1" sizeWithCells="1">
                  <from>
                    <xdr:col>2</xdr:col>
                    <xdr:colOff>561975</xdr:colOff>
                    <xdr:row>2</xdr:row>
                    <xdr:rowOff>19050</xdr:rowOff>
                  </from>
                  <to>
                    <xdr:col>3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atePlusUn">
                <anchor moveWithCells="1" sizeWithCells="1">
                  <from>
                    <xdr:col>3</xdr:col>
                    <xdr:colOff>847725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ateMoinsUn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2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OuvrirGestionPersonnel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'C:\Users\ncirulli\Documents\NC\[plan jour_nic.xls]Feuil2'!#REF!</xm:f>
          </x14:formula1>
          <xm:sqref>WUN982612:WUN982649 B65208:B65245 IB65108:IB65145 RX65108:RX65145 ABT65108:ABT65145 ALP65108:ALP65145 AVL65108:AVL65145 BFH65108:BFH65145 BPD65108:BPD65145 BYZ65108:BYZ65145 CIV65108:CIV65145 CSR65108:CSR65145 DCN65108:DCN65145 DMJ65108:DMJ65145 DWF65108:DWF65145 EGB65108:EGB65145 EPX65108:EPX65145 EZT65108:EZT65145 FJP65108:FJP65145 FTL65108:FTL65145 GDH65108:GDH65145 GND65108:GND65145 GWZ65108:GWZ65145 HGV65108:HGV65145 HQR65108:HQR65145 IAN65108:IAN65145 IKJ65108:IKJ65145 IUF65108:IUF65145 JEB65108:JEB65145 JNX65108:JNX65145 JXT65108:JXT65145 KHP65108:KHP65145 KRL65108:KRL65145 LBH65108:LBH65145 LLD65108:LLD65145 LUZ65108:LUZ65145 MEV65108:MEV65145 MOR65108:MOR65145 MYN65108:MYN65145 NIJ65108:NIJ65145 NSF65108:NSF65145 OCB65108:OCB65145 OLX65108:OLX65145 OVT65108:OVT65145 PFP65108:PFP65145 PPL65108:PPL65145 PZH65108:PZH65145 QJD65108:QJD65145 QSZ65108:QSZ65145 RCV65108:RCV65145 RMR65108:RMR65145 RWN65108:RWN65145 SGJ65108:SGJ65145 SQF65108:SQF65145 TAB65108:TAB65145 TJX65108:TJX65145 TTT65108:TTT65145 UDP65108:UDP65145 UNL65108:UNL65145 UXH65108:UXH65145 VHD65108:VHD65145 VQZ65108:VQZ65145 WAV65108:WAV65145 WKR65108:WKR65145 WUN65108:WUN65145 B130744:B130781 IB130644:IB130681 RX130644:RX130681 ABT130644:ABT130681 ALP130644:ALP130681 AVL130644:AVL130681 BFH130644:BFH130681 BPD130644:BPD130681 BYZ130644:BYZ130681 CIV130644:CIV130681 CSR130644:CSR130681 DCN130644:DCN130681 DMJ130644:DMJ130681 DWF130644:DWF130681 EGB130644:EGB130681 EPX130644:EPX130681 EZT130644:EZT130681 FJP130644:FJP130681 FTL130644:FTL130681 GDH130644:GDH130681 GND130644:GND130681 GWZ130644:GWZ130681 HGV130644:HGV130681 HQR130644:HQR130681 IAN130644:IAN130681 IKJ130644:IKJ130681 IUF130644:IUF130681 JEB130644:JEB130681 JNX130644:JNX130681 JXT130644:JXT130681 KHP130644:KHP130681 KRL130644:KRL130681 LBH130644:LBH130681 LLD130644:LLD130681 LUZ130644:LUZ130681 MEV130644:MEV130681 MOR130644:MOR130681 MYN130644:MYN130681 NIJ130644:NIJ130681 NSF130644:NSF130681 OCB130644:OCB130681 OLX130644:OLX130681 OVT130644:OVT130681 PFP130644:PFP130681 PPL130644:PPL130681 PZH130644:PZH130681 QJD130644:QJD130681 QSZ130644:QSZ130681 RCV130644:RCV130681 RMR130644:RMR130681 RWN130644:RWN130681 SGJ130644:SGJ130681 SQF130644:SQF130681 TAB130644:TAB130681 TJX130644:TJX130681 TTT130644:TTT130681 UDP130644:UDP130681 UNL130644:UNL130681 UXH130644:UXH130681 VHD130644:VHD130681 VQZ130644:VQZ130681 WAV130644:WAV130681 WKR130644:WKR130681 WUN130644:WUN130681 B196280:B196317 IB196180:IB196217 RX196180:RX196217 ABT196180:ABT196217 ALP196180:ALP196217 AVL196180:AVL196217 BFH196180:BFH196217 BPD196180:BPD196217 BYZ196180:BYZ196217 CIV196180:CIV196217 CSR196180:CSR196217 DCN196180:DCN196217 DMJ196180:DMJ196217 DWF196180:DWF196217 EGB196180:EGB196217 EPX196180:EPX196217 EZT196180:EZT196217 FJP196180:FJP196217 FTL196180:FTL196217 GDH196180:GDH196217 GND196180:GND196217 GWZ196180:GWZ196217 HGV196180:HGV196217 HQR196180:HQR196217 IAN196180:IAN196217 IKJ196180:IKJ196217 IUF196180:IUF196217 JEB196180:JEB196217 JNX196180:JNX196217 JXT196180:JXT196217 KHP196180:KHP196217 KRL196180:KRL196217 LBH196180:LBH196217 LLD196180:LLD196217 LUZ196180:LUZ196217 MEV196180:MEV196217 MOR196180:MOR196217 MYN196180:MYN196217 NIJ196180:NIJ196217 NSF196180:NSF196217 OCB196180:OCB196217 OLX196180:OLX196217 OVT196180:OVT196217 PFP196180:PFP196217 PPL196180:PPL196217 PZH196180:PZH196217 QJD196180:QJD196217 QSZ196180:QSZ196217 RCV196180:RCV196217 RMR196180:RMR196217 RWN196180:RWN196217 SGJ196180:SGJ196217 SQF196180:SQF196217 TAB196180:TAB196217 TJX196180:TJX196217 TTT196180:TTT196217 UDP196180:UDP196217 UNL196180:UNL196217 UXH196180:UXH196217 VHD196180:VHD196217 VQZ196180:VQZ196217 WAV196180:WAV196217 WKR196180:WKR196217 WUN196180:WUN196217 B261816:B261853 IB261716:IB261753 RX261716:RX261753 ABT261716:ABT261753 ALP261716:ALP261753 AVL261716:AVL261753 BFH261716:BFH261753 BPD261716:BPD261753 BYZ261716:BYZ261753 CIV261716:CIV261753 CSR261716:CSR261753 DCN261716:DCN261753 DMJ261716:DMJ261753 DWF261716:DWF261753 EGB261716:EGB261753 EPX261716:EPX261753 EZT261716:EZT261753 FJP261716:FJP261753 FTL261716:FTL261753 GDH261716:GDH261753 GND261716:GND261753 GWZ261716:GWZ261753 HGV261716:HGV261753 HQR261716:HQR261753 IAN261716:IAN261753 IKJ261716:IKJ261753 IUF261716:IUF261753 JEB261716:JEB261753 JNX261716:JNX261753 JXT261716:JXT261753 KHP261716:KHP261753 KRL261716:KRL261753 LBH261716:LBH261753 LLD261716:LLD261753 LUZ261716:LUZ261753 MEV261716:MEV261753 MOR261716:MOR261753 MYN261716:MYN261753 NIJ261716:NIJ261753 NSF261716:NSF261753 OCB261716:OCB261753 OLX261716:OLX261753 OVT261716:OVT261753 PFP261716:PFP261753 PPL261716:PPL261753 PZH261716:PZH261753 QJD261716:QJD261753 QSZ261716:QSZ261753 RCV261716:RCV261753 RMR261716:RMR261753 RWN261716:RWN261753 SGJ261716:SGJ261753 SQF261716:SQF261753 TAB261716:TAB261753 TJX261716:TJX261753 TTT261716:TTT261753 UDP261716:UDP261753 UNL261716:UNL261753 UXH261716:UXH261753 VHD261716:VHD261753 VQZ261716:VQZ261753 WAV261716:WAV261753 WKR261716:WKR261753 WUN261716:WUN261753 B327352:B327389 IB327252:IB327289 RX327252:RX327289 ABT327252:ABT327289 ALP327252:ALP327289 AVL327252:AVL327289 BFH327252:BFH327289 BPD327252:BPD327289 BYZ327252:BYZ327289 CIV327252:CIV327289 CSR327252:CSR327289 DCN327252:DCN327289 DMJ327252:DMJ327289 DWF327252:DWF327289 EGB327252:EGB327289 EPX327252:EPX327289 EZT327252:EZT327289 FJP327252:FJP327289 FTL327252:FTL327289 GDH327252:GDH327289 GND327252:GND327289 GWZ327252:GWZ327289 HGV327252:HGV327289 HQR327252:HQR327289 IAN327252:IAN327289 IKJ327252:IKJ327289 IUF327252:IUF327289 JEB327252:JEB327289 JNX327252:JNX327289 JXT327252:JXT327289 KHP327252:KHP327289 KRL327252:KRL327289 LBH327252:LBH327289 LLD327252:LLD327289 LUZ327252:LUZ327289 MEV327252:MEV327289 MOR327252:MOR327289 MYN327252:MYN327289 NIJ327252:NIJ327289 NSF327252:NSF327289 OCB327252:OCB327289 OLX327252:OLX327289 OVT327252:OVT327289 PFP327252:PFP327289 PPL327252:PPL327289 PZH327252:PZH327289 QJD327252:QJD327289 QSZ327252:QSZ327289 RCV327252:RCV327289 RMR327252:RMR327289 RWN327252:RWN327289 SGJ327252:SGJ327289 SQF327252:SQF327289 TAB327252:TAB327289 TJX327252:TJX327289 TTT327252:TTT327289 UDP327252:UDP327289 UNL327252:UNL327289 UXH327252:UXH327289 VHD327252:VHD327289 VQZ327252:VQZ327289 WAV327252:WAV327289 WKR327252:WKR327289 WUN327252:WUN327289 B392888:B392925 IB392788:IB392825 RX392788:RX392825 ABT392788:ABT392825 ALP392788:ALP392825 AVL392788:AVL392825 BFH392788:BFH392825 BPD392788:BPD392825 BYZ392788:BYZ392825 CIV392788:CIV392825 CSR392788:CSR392825 DCN392788:DCN392825 DMJ392788:DMJ392825 DWF392788:DWF392825 EGB392788:EGB392825 EPX392788:EPX392825 EZT392788:EZT392825 FJP392788:FJP392825 FTL392788:FTL392825 GDH392788:GDH392825 GND392788:GND392825 GWZ392788:GWZ392825 HGV392788:HGV392825 HQR392788:HQR392825 IAN392788:IAN392825 IKJ392788:IKJ392825 IUF392788:IUF392825 JEB392788:JEB392825 JNX392788:JNX392825 JXT392788:JXT392825 KHP392788:KHP392825 KRL392788:KRL392825 LBH392788:LBH392825 LLD392788:LLD392825 LUZ392788:LUZ392825 MEV392788:MEV392825 MOR392788:MOR392825 MYN392788:MYN392825 NIJ392788:NIJ392825 NSF392788:NSF392825 OCB392788:OCB392825 OLX392788:OLX392825 OVT392788:OVT392825 PFP392788:PFP392825 PPL392788:PPL392825 PZH392788:PZH392825 QJD392788:QJD392825 QSZ392788:QSZ392825 RCV392788:RCV392825 RMR392788:RMR392825 RWN392788:RWN392825 SGJ392788:SGJ392825 SQF392788:SQF392825 TAB392788:TAB392825 TJX392788:TJX392825 TTT392788:TTT392825 UDP392788:UDP392825 UNL392788:UNL392825 UXH392788:UXH392825 VHD392788:VHD392825 VQZ392788:VQZ392825 WAV392788:WAV392825 WKR392788:WKR392825 WUN392788:WUN392825 B458424:B458461 IB458324:IB458361 RX458324:RX458361 ABT458324:ABT458361 ALP458324:ALP458361 AVL458324:AVL458361 BFH458324:BFH458361 BPD458324:BPD458361 BYZ458324:BYZ458361 CIV458324:CIV458361 CSR458324:CSR458361 DCN458324:DCN458361 DMJ458324:DMJ458361 DWF458324:DWF458361 EGB458324:EGB458361 EPX458324:EPX458361 EZT458324:EZT458361 FJP458324:FJP458361 FTL458324:FTL458361 GDH458324:GDH458361 GND458324:GND458361 GWZ458324:GWZ458361 HGV458324:HGV458361 HQR458324:HQR458361 IAN458324:IAN458361 IKJ458324:IKJ458361 IUF458324:IUF458361 JEB458324:JEB458361 JNX458324:JNX458361 JXT458324:JXT458361 KHP458324:KHP458361 KRL458324:KRL458361 LBH458324:LBH458361 LLD458324:LLD458361 LUZ458324:LUZ458361 MEV458324:MEV458361 MOR458324:MOR458361 MYN458324:MYN458361 NIJ458324:NIJ458361 NSF458324:NSF458361 OCB458324:OCB458361 OLX458324:OLX458361 OVT458324:OVT458361 PFP458324:PFP458361 PPL458324:PPL458361 PZH458324:PZH458361 QJD458324:QJD458361 QSZ458324:QSZ458361 RCV458324:RCV458361 RMR458324:RMR458361 RWN458324:RWN458361 SGJ458324:SGJ458361 SQF458324:SQF458361 TAB458324:TAB458361 TJX458324:TJX458361 TTT458324:TTT458361 UDP458324:UDP458361 UNL458324:UNL458361 UXH458324:UXH458361 VHD458324:VHD458361 VQZ458324:VQZ458361 WAV458324:WAV458361 WKR458324:WKR458361 WUN458324:WUN458361 B523960:B523997 IB523860:IB523897 RX523860:RX523897 ABT523860:ABT523897 ALP523860:ALP523897 AVL523860:AVL523897 BFH523860:BFH523897 BPD523860:BPD523897 BYZ523860:BYZ523897 CIV523860:CIV523897 CSR523860:CSR523897 DCN523860:DCN523897 DMJ523860:DMJ523897 DWF523860:DWF523897 EGB523860:EGB523897 EPX523860:EPX523897 EZT523860:EZT523897 FJP523860:FJP523897 FTL523860:FTL523897 GDH523860:GDH523897 GND523860:GND523897 GWZ523860:GWZ523897 HGV523860:HGV523897 HQR523860:HQR523897 IAN523860:IAN523897 IKJ523860:IKJ523897 IUF523860:IUF523897 JEB523860:JEB523897 JNX523860:JNX523897 JXT523860:JXT523897 KHP523860:KHP523897 KRL523860:KRL523897 LBH523860:LBH523897 LLD523860:LLD523897 LUZ523860:LUZ523897 MEV523860:MEV523897 MOR523860:MOR523897 MYN523860:MYN523897 NIJ523860:NIJ523897 NSF523860:NSF523897 OCB523860:OCB523897 OLX523860:OLX523897 OVT523860:OVT523897 PFP523860:PFP523897 PPL523860:PPL523897 PZH523860:PZH523897 QJD523860:QJD523897 QSZ523860:QSZ523897 RCV523860:RCV523897 RMR523860:RMR523897 RWN523860:RWN523897 SGJ523860:SGJ523897 SQF523860:SQF523897 TAB523860:TAB523897 TJX523860:TJX523897 TTT523860:TTT523897 UDP523860:UDP523897 UNL523860:UNL523897 UXH523860:UXH523897 VHD523860:VHD523897 VQZ523860:VQZ523897 WAV523860:WAV523897 WKR523860:WKR523897 WUN523860:WUN523897 B589496:B589533 IB589396:IB589433 RX589396:RX589433 ABT589396:ABT589433 ALP589396:ALP589433 AVL589396:AVL589433 BFH589396:BFH589433 BPD589396:BPD589433 BYZ589396:BYZ589433 CIV589396:CIV589433 CSR589396:CSR589433 DCN589396:DCN589433 DMJ589396:DMJ589433 DWF589396:DWF589433 EGB589396:EGB589433 EPX589396:EPX589433 EZT589396:EZT589433 FJP589396:FJP589433 FTL589396:FTL589433 GDH589396:GDH589433 GND589396:GND589433 GWZ589396:GWZ589433 HGV589396:HGV589433 HQR589396:HQR589433 IAN589396:IAN589433 IKJ589396:IKJ589433 IUF589396:IUF589433 JEB589396:JEB589433 JNX589396:JNX589433 JXT589396:JXT589433 KHP589396:KHP589433 KRL589396:KRL589433 LBH589396:LBH589433 LLD589396:LLD589433 LUZ589396:LUZ589433 MEV589396:MEV589433 MOR589396:MOR589433 MYN589396:MYN589433 NIJ589396:NIJ589433 NSF589396:NSF589433 OCB589396:OCB589433 OLX589396:OLX589433 OVT589396:OVT589433 PFP589396:PFP589433 PPL589396:PPL589433 PZH589396:PZH589433 QJD589396:QJD589433 QSZ589396:QSZ589433 RCV589396:RCV589433 RMR589396:RMR589433 RWN589396:RWN589433 SGJ589396:SGJ589433 SQF589396:SQF589433 TAB589396:TAB589433 TJX589396:TJX589433 TTT589396:TTT589433 UDP589396:UDP589433 UNL589396:UNL589433 UXH589396:UXH589433 VHD589396:VHD589433 VQZ589396:VQZ589433 WAV589396:WAV589433 WKR589396:WKR589433 WUN589396:WUN589433 B655032:B655069 IB654932:IB654969 RX654932:RX654969 ABT654932:ABT654969 ALP654932:ALP654969 AVL654932:AVL654969 BFH654932:BFH654969 BPD654932:BPD654969 BYZ654932:BYZ654969 CIV654932:CIV654969 CSR654932:CSR654969 DCN654932:DCN654969 DMJ654932:DMJ654969 DWF654932:DWF654969 EGB654932:EGB654969 EPX654932:EPX654969 EZT654932:EZT654969 FJP654932:FJP654969 FTL654932:FTL654969 GDH654932:GDH654969 GND654932:GND654969 GWZ654932:GWZ654969 HGV654932:HGV654969 HQR654932:HQR654969 IAN654932:IAN654969 IKJ654932:IKJ654969 IUF654932:IUF654969 JEB654932:JEB654969 JNX654932:JNX654969 JXT654932:JXT654969 KHP654932:KHP654969 KRL654932:KRL654969 LBH654932:LBH654969 LLD654932:LLD654969 LUZ654932:LUZ654969 MEV654932:MEV654969 MOR654932:MOR654969 MYN654932:MYN654969 NIJ654932:NIJ654969 NSF654932:NSF654969 OCB654932:OCB654969 OLX654932:OLX654969 OVT654932:OVT654969 PFP654932:PFP654969 PPL654932:PPL654969 PZH654932:PZH654969 QJD654932:QJD654969 QSZ654932:QSZ654969 RCV654932:RCV654969 RMR654932:RMR654969 RWN654932:RWN654969 SGJ654932:SGJ654969 SQF654932:SQF654969 TAB654932:TAB654969 TJX654932:TJX654969 TTT654932:TTT654969 UDP654932:UDP654969 UNL654932:UNL654969 UXH654932:UXH654969 VHD654932:VHD654969 VQZ654932:VQZ654969 WAV654932:WAV654969 WKR654932:WKR654969 WUN654932:WUN654969 B720568:B720605 IB720468:IB720505 RX720468:RX720505 ABT720468:ABT720505 ALP720468:ALP720505 AVL720468:AVL720505 BFH720468:BFH720505 BPD720468:BPD720505 BYZ720468:BYZ720505 CIV720468:CIV720505 CSR720468:CSR720505 DCN720468:DCN720505 DMJ720468:DMJ720505 DWF720468:DWF720505 EGB720468:EGB720505 EPX720468:EPX720505 EZT720468:EZT720505 FJP720468:FJP720505 FTL720468:FTL720505 GDH720468:GDH720505 GND720468:GND720505 GWZ720468:GWZ720505 HGV720468:HGV720505 HQR720468:HQR720505 IAN720468:IAN720505 IKJ720468:IKJ720505 IUF720468:IUF720505 JEB720468:JEB720505 JNX720468:JNX720505 JXT720468:JXT720505 KHP720468:KHP720505 KRL720468:KRL720505 LBH720468:LBH720505 LLD720468:LLD720505 LUZ720468:LUZ720505 MEV720468:MEV720505 MOR720468:MOR720505 MYN720468:MYN720505 NIJ720468:NIJ720505 NSF720468:NSF720505 OCB720468:OCB720505 OLX720468:OLX720505 OVT720468:OVT720505 PFP720468:PFP720505 PPL720468:PPL720505 PZH720468:PZH720505 QJD720468:QJD720505 QSZ720468:QSZ720505 RCV720468:RCV720505 RMR720468:RMR720505 RWN720468:RWN720505 SGJ720468:SGJ720505 SQF720468:SQF720505 TAB720468:TAB720505 TJX720468:TJX720505 TTT720468:TTT720505 UDP720468:UDP720505 UNL720468:UNL720505 UXH720468:UXH720505 VHD720468:VHD720505 VQZ720468:VQZ720505 WAV720468:WAV720505 WKR720468:WKR720505 WUN720468:WUN720505 B786104:B786141 IB786004:IB786041 RX786004:RX786041 ABT786004:ABT786041 ALP786004:ALP786041 AVL786004:AVL786041 BFH786004:BFH786041 BPD786004:BPD786041 BYZ786004:BYZ786041 CIV786004:CIV786041 CSR786004:CSR786041 DCN786004:DCN786041 DMJ786004:DMJ786041 DWF786004:DWF786041 EGB786004:EGB786041 EPX786004:EPX786041 EZT786004:EZT786041 FJP786004:FJP786041 FTL786004:FTL786041 GDH786004:GDH786041 GND786004:GND786041 GWZ786004:GWZ786041 HGV786004:HGV786041 HQR786004:HQR786041 IAN786004:IAN786041 IKJ786004:IKJ786041 IUF786004:IUF786041 JEB786004:JEB786041 JNX786004:JNX786041 JXT786004:JXT786041 KHP786004:KHP786041 KRL786004:KRL786041 LBH786004:LBH786041 LLD786004:LLD786041 LUZ786004:LUZ786041 MEV786004:MEV786041 MOR786004:MOR786041 MYN786004:MYN786041 NIJ786004:NIJ786041 NSF786004:NSF786041 OCB786004:OCB786041 OLX786004:OLX786041 OVT786004:OVT786041 PFP786004:PFP786041 PPL786004:PPL786041 PZH786004:PZH786041 QJD786004:QJD786041 QSZ786004:QSZ786041 RCV786004:RCV786041 RMR786004:RMR786041 RWN786004:RWN786041 SGJ786004:SGJ786041 SQF786004:SQF786041 TAB786004:TAB786041 TJX786004:TJX786041 TTT786004:TTT786041 UDP786004:UDP786041 UNL786004:UNL786041 UXH786004:UXH786041 VHD786004:VHD786041 VQZ786004:VQZ786041 WAV786004:WAV786041 WKR786004:WKR786041 WUN786004:WUN786041 B851640:B851677 IB851540:IB851577 RX851540:RX851577 ABT851540:ABT851577 ALP851540:ALP851577 AVL851540:AVL851577 BFH851540:BFH851577 BPD851540:BPD851577 BYZ851540:BYZ851577 CIV851540:CIV851577 CSR851540:CSR851577 DCN851540:DCN851577 DMJ851540:DMJ851577 DWF851540:DWF851577 EGB851540:EGB851577 EPX851540:EPX851577 EZT851540:EZT851577 FJP851540:FJP851577 FTL851540:FTL851577 GDH851540:GDH851577 GND851540:GND851577 GWZ851540:GWZ851577 HGV851540:HGV851577 HQR851540:HQR851577 IAN851540:IAN851577 IKJ851540:IKJ851577 IUF851540:IUF851577 JEB851540:JEB851577 JNX851540:JNX851577 JXT851540:JXT851577 KHP851540:KHP851577 KRL851540:KRL851577 LBH851540:LBH851577 LLD851540:LLD851577 LUZ851540:LUZ851577 MEV851540:MEV851577 MOR851540:MOR851577 MYN851540:MYN851577 NIJ851540:NIJ851577 NSF851540:NSF851577 OCB851540:OCB851577 OLX851540:OLX851577 OVT851540:OVT851577 PFP851540:PFP851577 PPL851540:PPL851577 PZH851540:PZH851577 QJD851540:QJD851577 QSZ851540:QSZ851577 RCV851540:RCV851577 RMR851540:RMR851577 RWN851540:RWN851577 SGJ851540:SGJ851577 SQF851540:SQF851577 TAB851540:TAB851577 TJX851540:TJX851577 TTT851540:TTT851577 UDP851540:UDP851577 UNL851540:UNL851577 UXH851540:UXH851577 VHD851540:VHD851577 VQZ851540:VQZ851577 WAV851540:WAV851577 WKR851540:WKR851577 WUN851540:WUN851577 B917176:B917213 IB917076:IB917113 RX917076:RX917113 ABT917076:ABT917113 ALP917076:ALP917113 AVL917076:AVL917113 BFH917076:BFH917113 BPD917076:BPD917113 BYZ917076:BYZ917113 CIV917076:CIV917113 CSR917076:CSR917113 DCN917076:DCN917113 DMJ917076:DMJ917113 DWF917076:DWF917113 EGB917076:EGB917113 EPX917076:EPX917113 EZT917076:EZT917113 FJP917076:FJP917113 FTL917076:FTL917113 GDH917076:GDH917113 GND917076:GND917113 GWZ917076:GWZ917113 HGV917076:HGV917113 HQR917076:HQR917113 IAN917076:IAN917113 IKJ917076:IKJ917113 IUF917076:IUF917113 JEB917076:JEB917113 JNX917076:JNX917113 JXT917076:JXT917113 KHP917076:KHP917113 KRL917076:KRL917113 LBH917076:LBH917113 LLD917076:LLD917113 LUZ917076:LUZ917113 MEV917076:MEV917113 MOR917076:MOR917113 MYN917076:MYN917113 NIJ917076:NIJ917113 NSF917076:NSF917113 OCB917076:OCB917113 OLX917076:OLX917113 OVT917076:OVT917113 PFP917076:PFP917113 PPL917076:PPL917113 PZH917076:PZH917113 QJD917076:QJD917113 QSZ917076:QSZ917113 RCV917076:RCV917113 RMR917076:RMR917113 RWN917076:RWN917113 SGJ917076:SGJ917113 SQF917076:SQF917113 TAB917076:TAB917113 TJX917076:TJX917113 TTT917076:TTT917113 UDP917076:UDP917113 UNL917076:UNL917113 UXH917076:UXH917113 VHD917076:VHD917113 VQZ917076:VQZ917113 WAV917076:WAV917113 WKR917076:WKR917113 WUN917076:WUN917113 B982712:B982749 IB982612:IB982649 RX982612:RX982649 ABT982612:ABT982649 ALP982612:ALP982649 AVL982612:AVL982649 BFH982612:BFH982649 BPD982612:BPD982649 BYZ982612:BYZ982649 CIV982612:CIV982649 CSR982612:CSR982649 DCN982612:DCN982649 DMJ982612:DMJ982649 DWF982612:DWF982649 EGB982612:EGB982649 EPX982612:EPX982649 EZT982612:EZT982649 FJP982612:FJP982649 FTL982612:FTL982649 GDH982612:GDH982649 GND982612:GND982649 GWZ982612:GWZ982649 HGV982612:HGV982649 HQR982612:HQR982649 IAN982612:IAN982649 IKJ982612:IKJ982649 IUF982612:IUF982649 JEB982612:JEB982649 JNX982612:JNX982649 JXT982612:JXT982649 KHP982612:KHP982649 KRL982612:KRL982649 LBH982612:LBH982649 LLD982612:LLD982649 LUZ982612:LUZ982649 MEV982612:MEV982649 MOR982612:MOR982649 MYN982612:MYN982649 NIJ982612:NIJ982649 NSF982612:NSF982649 OCB982612:OCB982649 OLX982612:OLX982649 OVT982612:OVT982649 PFP982612:PFP982649 PPL982612:PPL982649 PZH982612:PZH982649 QJD982612:QJD982649 QSZ982612:QSZ982649 RCV982612:RCV982649 RMR982612:RMR982649 RWN982612:RWN982649 SGJ982612:SGJ982649 SQF982612:SQF982649 TAB982612:TAB982649 TJX982612:TJX982649 TTT982612:TTT982649 UDP982612:UDP982649 UNL982612:UNL982649 UXH982612:UXH982649 VHD982612:VHD982649 VQZ982612:VQZ982649 WAV982612:WAV982649 WKR982612:WKR982649</xm:sqref>
        </x14:dataValidation>
        <x14:dataValidation type="list" allowBlank="1" showInputMessage="1" showErrorMessage="1">
          <x14:formula1>
            <xm:f>Liste!$A$1:$A$4</xm:f>
          </x14:formula1>
          <xm:sqref>G28:G29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38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.5703125" customWidth="1"/>
    <col min="2" max="2" width="21.7109375" bestFit="1" customWidth="1"/>
    <col min="3" max="3" width="12.5703125" customWidth="1"/>
    <col min="4" max="9" width="11.5703125" customWidth="1"/>
    <col min="10" max="21" width="12.5703125" customWidth="1"/>
    <col min="22" max="22" width="14" bestFit="1" customWidth="1"/>
    <col min="23" max="23" width="12.5703125" customWidth="1"/>
  </cols>
  <sheetData>
    <row r="1" spans="1:23" x14ac:dyDescent="0.25">
      <c r="A1" t="s">
        <v>185</v>
      </c>
      <c r="B1" t="s">
        <v>68</v>
      </c>
      <c r="C1" t="s">
        <v>186</v>
      </c>
      <c r="D1" t="s">
        <v>187</v>
      </c>
      <c r="E1" t="s">
        <v>188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189</v>
      </c>
      <c r="N1" t="s">
        <v>190</v>
      </c>
      <c r="O1" t="s">
        <v>191</v>
      </c>
      <c r="P1" t="s">
        <v>73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</row>
    <row r="2" spans="1:23" x14ac:dyDescent="0.25">
      <c r="A2" t="s">
        <v>208</v>
      </c>
      <c r="B2" t="s">
        <v>8</v>
      </c>
      <c r="C2" t="s">
        <v>209</v>
      </c>
      <c r="D2" t="s">
        <v>210</v>
      </c>
      <c r="E2" t="s">
        <v>211</v>
      </c>
      <c r="F2" t="s">
        <v>212</v>
      </c>
      <c r="G2" t="s">
        <v>212</v>
      </c>
      <c r="H2" t="s">
        <v>212</v>
      </c>
      <c r="I2" t="s">
        <v>212</v>
      </c>
      <c r="J2" t="s">
        <v>212</v>
      </c>
      <c r="K2" t="s">
        <v>211</v>
      </c>
      <c r="L2" t="s">
        <v>211</v>
      </c>
      <c r="M2">
        <v>1</v>
      </c>
      <c r="N2">
        <v>1</v>
      </c>
      <c r="O2">
        <v>1</v>
      </c>
      <c r="P2">
        <v>1</v>
      </c>
      <c r="Q2">
        <v>1</v>
      </c>
      <c r="R2">
        <v>6</v>
      </c>
      <c r="S2">
        <v>7</v>
      </c>
      <c r="T2">
        <v>3</v>
      </c>
      <c r="U2">
        <v>3</v>
      </c>
      <c r="V2">
        <v>2</v>
      </c>
      <c r="W2">
        <v>2</v>
      </c>
    </row>
    <row r="3" spans="1:23" ht="14.25" customHeight="1" x14ac:dyDescent="0.25">
      <c r="A3" t="s">
        <v>213</v>
      </c>
      <c r="B3" t="s">
        <v>9</v>
      </c>
      <c r="C3" t="s">
        <v>209</v>
      </c>
      <c r="D3" t="s">
        <v>210</v>
      </c>
      <c r="E3" t="s">
        <v>211</v>
      </c>
      <c r="F3" t="s">
        <v>212</v>
      </c>
      <c r="G3" t="s">
        <v>212</v>
      </c>
      <c r="H3" t="s">
        <v>212</v>
      </c>
      <c r="I3" t="s">
        <v>212</v>
      </c>
      <c r="J3" t="s">
        <v>214</v>
      </c>
      <c r="K3" t="s">
        <v>211</v>
      </c>
      <c r="L3" t="s">
        <v>211</v>
      </c>
      <c r="M3">
        <v>1</v>
      </c>
      <c r="N3">
        <v>1</v>
      </c>
      <c r="O3">
        <v>1</v>
      </c>
      <c r="P3">
        <v>1</v>
      </c>
      <c r="Q3">
        <v>1</v>
      </c>
      <c r="R3">
        <v>5</v>
      </c>
      <c r="S3">
        <v>6</v>
      </c>
      <c r="T3">
        <v>5</v>
      </c>
      <c r="U3">
        <v>2</v>
      </c>
      <c r="V3">
        <v>1</v>
      </c>
      <c r="W3">
        <v>1</v>
      </c>
    </row>
    <row r="4" spans="1:23" x14ac:dyDescent="0.25">
      <c r="A4" t="s">
        <v>215</v>
      </c>
      <c r="B4" t="s">
        <v>10</v>
      </c>
      <c r="C4" t="s">
        <v>209</v>
      </c>
      <c r="D4" t="s">
        <v>210</v>
      </c>
      <c r="E4" t="s">
        <v>211</v>
      </c>
      <c r="F4" t="s">
        <v>212</v>
      </c>
      <c r="G4" t="s">
        <v>214</v>
      </c>
      <c r="H4" t="s">
        <v>212</v>
      </c>
      <c r="I4" t="s">
        <v>211</v>
      </c>
      <c r="J4" t="s">
        <v>212</v>
      </c>
      <c r="K4" t="s">
        <v>211</v>
      </c>
      <c r="L4" t="s">
        <v>211</v>
      </c>
      <c r="M4">
        <v>1</v>
      </c>
      <c r="N4">
        <v>1</v>
      </c>
      <c r="O4">
        <v>1</v>
      </c>
      <c r="P4">
        <v>1</v>
      </c>
      <c r="Q4">
        <v>1</v>
      </c>
      <c r="R4">
        <v>7</v>
      </c>
      <c r="S4">
        <v>6</v>
      </c>
      <c r="T4">
        <v>5</v>
      </c>
      <c r="U4">
        <v>1</v>
      </c>
      <c r="V4">
        <v>1</v>
      </c>
      <c r="W4">
        <v>0</v>
      </c>
    </row>
    <row r="5" spans="1:23" x14ac:dyDescent="0.25">
      <c r="A5" t="s">
        <v>216</v>
      </c>
      <c r="B5" t="s">
        <v>11</v>
      </c>
      <c r="C5" t="s">
        <v>209</v>
      </c>
      <c r="D5" t="s">
        <v>210</v>
      </c>
      <c r="E5" t="s">
        <v>211</v>
      </c>
      <c r="F5" t="s">
        <v>212</v>
      </c>
      <c r="G5" t="s">
        <v>212</v>
      </c>
      <c r="H5" t="s">
        <v>212</v>
      </c>
      <c r="I5" t="s">
        <v>212</v>
      </c>
      <c r="J5" t="s">
        <v>212</v>
      </c>
      <c r="K5" t="s">
        <v>211</v>
      </c>
      <c r="L5" t="s">
        <v>211</v>
      </c>
      <c r="M5">
        <v>1</v>
      </c>
      <c r="N5">
        <v>1</v>
      </c>
      <c r="O5">
        <v>1</v>
      </c>
      <c r="P5">
        <v>1</v>
      </c>
      <c r="Q5">
        <v>1</v>
      </c>
      <c r="R5">
        <v>8</v>
      </c>
      <c r="S5">
        <v>7</v>
      </c>
      <c r="T5">
        <v>4</v>
      </c>
      <c r="U5">
        <v>1</v>
      </c>
      <c r="V5">
        <v>1</v>
      </c>
      <c r="W5">
        <v>1</v>
      </c>
    </row>
    <row r="6" spans="1:23" x14ac:dyDescent="0.25">
      <c r="A6" t="s">
        <v>217</v>
      </c>
      <c r="B6" t="s">
        <v>12</v>
      </c>
      <c r="C6" t="s">
        <v>209</v>
      </c>
      <c r="D6" t="s">
        <v>210</v>
      </c>
      <c r="E6" t="s">
        <v>211</v>
      </c>
      <c r="F6" t="s">
        <v>212</v>
      </c>
      <c r="G6" t="s">
        <v>212</v>
      </c>
      <c r="H6" t="s">
        <v>214</v>
      </c>
      <c r="I6" t="s">
        <v>214</v>
      </c>
      <c r="J6" t="s">
        <v>214</v>
      </c>
      <c r="K6" t="s">
        <v>211</v>
      </c>
      <c r="L6" t="s">
        <v>211</v>
      </c>
      <c r="M6">
        <v>1</v>
      </c>
      <c r="N6">
        <v>1</v>
      </c>
      <c r="O6">
        <v>1</v>
      </c>
      <c r="P6">
        <v>1</v>
      </c>
      <c r="Q6">
        <v>1</v>
      </c>
      <c r="R6">
        <v>7</v>
      </c>
      <c r="S6">
        <v>8</v>
      </c>
      <c r="T6">
        <v>5</v>
      </c>
      <c r="U6">
        <v>1</v>
      </c>
      <c r="V6">
        <v>1</v>
      </c>
      <c r="W6">
        <v>1</v>
      </c>
    </row>
    <row r="7" spans="1:23" x14ac:dyDescent="0.25">
      <c r="A7" t="s">
        <v>218</v>
      </c>
      <c r="B7" t="s">
        <v>13</v>
      </c>
      <c r="C7" t="s">
        <v>209</v>
      </c>
      <c r="D7" t="s">
        <v>210</v>
      </c>
      <c r="E7" t="s">
        <v>211</v>
      </c>
      <c r="F7" t="s">
        <v>212</v>
      </c>
      <c r="G7" t="s">
        <v>212</v>
      </c>
      <c r="H7" t="s">
        <v>212</v>
      </c>
      <c r="I7" t="s">
        <v>212</v>
      </c>
      <c r="J7" t="s">
        <v>212</v>
      </c>
      <c r="K7" t="s">
        <v>211</v>
      </c>
      <c r="L7" t="s">
        <v>211</v>
      </c>
      <c r="M7">
        <v>1</v>
      </c>
      <c r="N7">
        <v>1</v>
      </c>
      <c r="O7">
        <v>1</v>
      </c>
      <c r="P7">
        <v>1</v>
      </c>
      <c r="Q7">
        <v>1</v>
      </c>
      <c r="R7">
        <v>4</v>
      </c>
      <c r="S7">
        <v>7</v>
      </c>
      <c r="T7">
        <v>4</v>
      </c>
      <c r="U7">
        <v>3</v>
      </c>
      <c r="V7">
        <v>0</v>
      </c>
      <c r="W7">
        <v>0</v>
      </c>
    </row>
    <row r="8" spans="1:23" x14ac:dyDescent="0.25">
      <c r="A8" t="s">
        <v>219</v>
      </c>
      <c r="B8" t="s">
        <v>14</v>
      </c>
      <c r="C8" t="s">
        <v>209</v>
      </c>
      <c r="D8" t="s">
        <v>210</v>
      </c>
      <c r="E8" t="s">
        <v>211</v>
      </c>
      <c r="F8" t="s">
        <v>214</v>
      </c>
      <c r="G8" t="s">
        <v>212</v>
      </c>
      <c r="H8" t="s">
        <v>212</v>
      </c>
      <c r="I8" t="s">
        <v>212</v>
      </c>
      <c r="J8" t="s">
        <v>212</v>
      </c>
      <c r="K8" t="s">
        <v>211</v>
      </c>
      <c r="L8" t="s">
        <v>211</v>
      </c>
      <c r="M8">
        <v>1</v>
      </c>
      <c r="N8">
        <v>1</v>
      </c>
      <c r="O8">
        <v>1</v>
      </c>
      <c r="P8">
        <v>1</v>
      </c>
      <c r="Q8">
        <v>1</v>
      </c>
      <c r="R8">
        <v>8</v>
      </c>
      <c r="S8">
        <v>6</v>
      </c>
      <c r="T8">
        <v>4</v>
      </c>
      <c r="U8">
        <v>3</v>
      </c>
      <c r="V8">
        <v>0</v>
      </c>
      <c r="W8">
        <v>2</v>
      </c>
    </row>
    <row r="9" spans="1:23" x14ac:dyDescent="0.25">
      <c r="A9" t="s">
        <v>220</v>
      </c>
      <c r="B9" t="s">
        <v>15</v>
      </c>
      <c r="C9" t="s">
        <v>209</v>
      </c>
      <c r="D9" t="s">
        <v>210</v>
      </c>
      <c r="E9" t="s">
        <v>211</v>
      </c>
      <c r="F9" t="s">
        <v>212</v>
      </c>
      <c r="G9" t="s">
        <v>212</v>
      </c>
      <c r="H9" t="s">
        <v>212</v>
      </c>
      <c r="I9" t="s">
        <v>212</v>
      </c>
      <c r="J9" t="s">
        <v>212</v>
      </c>
      <c r="K9" t="s">
        <v>211</v>
      </c>
      <c r="L9" t="s">
        <v>211</v>
      </c>
      <c r="M9">
        <v>1</v>
      </c>
      <c r="N9">
        <v>1</v>
      </c>
      <c r="O9">
        <v>1</v>
      </c>
      <c r="P9">
        <v>1</v>
      </c>
      <c r="Q9">
        <v>1</v>
      </c>
      <c r="R9">
        <v>3</v>
      </c>
      <c r="S9">
        <v>2</v>
      </c>
      <c r="T9">
        <v>1</v>
      </c>
      <c r="U9">
        <v>1</v>
      </c>
      <c r="V9">
        <v>1</v>
      </c>
      <c r="W9">
        <v>0</v>
      </c>
    </row>
    <row r="10" spans="1:23" x14ac:dyDescent="0.25">
      <c r="A10" t="s">
        <v>221</v>
      </c>
      <c r="B10" t="s">
        <v>16</v>
      </c>
      <c r="C10" t="s">
        <v>209</v>
      </c>
      <c r="D10" t="s">
        <v>210</v>
      </c>
      <c r="E10" t="s">
        <v>211</v>
      </c>
      <c r="F10" t="s">
        <v>212</v>
      </c>
      <c r="G10" t="s">
        <v>212</v>
      </c>
      <c r="H10" t="s">
        <v>212</v>
      </c>
      <c r="I10" t="s">
        <v>212</v>
      </c>
      <c r="J10" t="s">
        <v>212</v>
      </c>
      <c r="K10" t="s">
        <v>211</v>
      </c>
      <c r="L10" t="s">
        <v>211</v>
      </c>
      <c r="M10">
        <v>1</v>
      </c>
      <c r="N10">
        <v>1</v>
      </c>
      <c r="O10">
        <v>1</v>
      </c>
      <c r="P10">
        <v>1</v>
      </c>
      <c r="Q10">
        <v>1</v>
      </c>
      <c r="R10">
        <v>6</v>
      </c>
      <c r="S10">
        <v>6</v>
      </c>
      <c r="T10">
        <v>4</v>
      </c>
      <c r="U10">
        <v>2</v>
      </c>
      <c r="V10">
        <v>1</v>
      </c>
      <c r="W10">
        <v>0</v>
      </c>
    </row>
    <row r="11" spans="1:23" x14ac:dyDescent="0.25">
      <c r="A11" t="s">
        <v>222</v>
      </c>
      <c r="B11" t="s">
        <v>17</v>
      </c>
      <c r="C11" t="s">
        <v>209</v>
      </c>
      <c r="D11" t="s">
        <v>210</v>
      </c>
      <c r="E11" t="s">
        <v>211</v>
      </c>
      <c r="F11" t="s">
        <v>212</v>
      </c>
      <c r="G11" t="s">
        <v>214</v>
      </c>
      <c r="H11" t="s">
        <v>212</v>
      </c>
      <c r="I11" t="s">
        <v>212</v>
      </c>
      <c r="J11" t="s">
        <v>212</v>
      </c>
      <c r="K11" t="s">
        <v>211</v>
      </c>
      <c r="L11" t="s">
        <v>211</v>
      </c>
      <c r="M11">
        <v>1</v>
      </c>
      <c r="N11">
        <v>1</v>
      </c>
      <c r="O11">
        <v>1</v>
      </c>
      <c r="P11">
        <v>1</v>
      </c>
      <c r="Q11">
        <v>1</v>
      </c>
      <c r="R11">
        <v>3</v>
      </c>
      <c r="S11">
        <v>0</v>
      </c>
      <c r="T11">
        <v>1</v>
      </c>
      <c r="U11">
        <v>1</v>
      </c>
      <c r="V11">
        <v>0</v>
      </c>
      <c r="W11">
        <v>1</v>
      </c>
    </row>
    <row r="12" spans="1:23" x14ac:dyDescent="0.25">
      <c r="A12" t="s">
        <v>223</v>
      </c>
      <c r="B12" t="s">
        <v>18</v>
      </c>
      <c r="C12" t="s">
        <v>209</v>
      </c>
      <c r="D12" t="s">
        <v>210</v>
      </c>
      <c r="E12" t="s">
        <v>211</v>
      </c>
      <c r="F12" t="s">
        <v>212</v>
      </c>
      <c r="G12" t="s">
        <v>212</v>
      </c>
      <c r="H12" t="s">
        <v>212</v>
      </c>
      <c r="I12" t="s">
        <v>212</v>
      </c>
      <c r="J12" t="s">
        <v>212</v>
      </c>
      <c r="K12" t="s">
        <v>211</v>
      </c>
      <c r="L12" t="s">
        <v>211</v>
      </c>
      <c r="M12">
        <v>1</v>
      </c>
      <c r="N12">
        <v>1</v>
      </c>
      <c r="O12">
        <v>1</v>
      </c>
      <c r="P12">
        <v>1</v>
      </c>
      <c r="Q12">
        <v>1</v>
      </c>
      <c r="R12">
        <v>7</v>
      </c>
      <c r="S12">
        <v>6</v>
      </c>
      <c r="T12">
        <v>5</v>
      </c>
      <c r="U12">
        <v>1</v>
      </c>
      <c r="V12">
        <v>1</v>
      </c>
      <c r="W12">
        <v>1</v>
      </c>
    </row>
    <row r="13" spans="1:23" x14ac:dyDescent="0.25">
      <c r="A13" t="s">
        <v>224</v>
      </c>
      <c r="B13" t="s">
        <v>19</v>
      </c>
      <c r="C13" t="s">
        <v>209</v>
      </c>
      <c r="D13" t="s">
        <v>210</v>
      </c>
      <c r="E13" t="s">
        <v>211</v>
      </c>
      <c r="F13" t="s">
        <v>212</v>
      </c>
      <c r="G13" t="s">
        <v>212</v>
      </c>
      <c r="H13" t="s">
        <v>212</v>
      </c>
      <c r="I13" t="s">
        <v>212</v>
      </c>
      <c r="J13" t="s">
        <v>212</v>
      </c>
      <c r="K13" t="s">
        <v>211</v>
      </c>
      <c r="L13" t="s">
        <v>211</v>
      </c>
      <c r="M13">
        <v>1</v>
      </c>
      <c r="N13">
        <v>1</v>
      </c>
      <c r="O13">
        <v>1</v>
      </c>
      <c r="P13">
        <v>1</v>
      </c>
      <c r="Q13">
        <v>1</v>
      </c>
      <c r="R13">
        <v>5</v>
      </c>
      <c r="S13">
        <v>6</v>
      </c>
      <c r="T13">
        <v>4</v>
      </c>
      <c r="U13">
        <v>2</v>
      </c>
      <c r="V13">
        <v>1</v>
      </c>
      <c r="W13">
        <v>1</v>
      </c>
    </row>
    <row r="14" spans="1:23" x14ac:dyDescent="0.25">
      <c r="A14" t="s">
        <v>225</v>
      </c>
      <c r="B14" t="s">
        <v>39</v>
      </c>
      <c r="C14" t="s">
        <v>209</v>
      </c>
      <c r="D14" t="s">
        <v>226</v>
      </c>
      <c r="E14" t="s">
        <v>227</v>
      </c>
      <c r="F14" t="s">
        <v>211</v>
      </c>
      <c r="G14" t="s">
        <v>211</v>
      </c>
      <c r="H14" t="s">
        <v>211</v>
      </c>
      <c r="I14" t="s">
        <v>211</v>
      </c>
      <c r="J14" t="s">
        <v>211</v>
      </c>
      <c r="K14" t="s">
        <v>212</v>
      </c>
      <c r="L14" t="s">
        <v>212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228</v>
      </c>
      <c r="B15" t="s">
        <v>40</v>
      </c>
      <c r="C15" t="s">
        <v>209</v>
      </c>
      <c r="D15" t="s">
        <v>226</v>
      </c>
      <c r="E15" t="s">
        <v>227</v>
      </c>
      <c r="F15" t="s">
        <v>211</v>
      </c>
      <c r="G15" t="s">
        <v>211</v>
      </c>
      <c r="H15" t="s">
        <v>211</v>
      </c>
      <c r="I15" t="s">
        <v>211</v>
      </c>
      <c r="J15" t="s">
        <v>211</v>
      </c>
      <c r="K15" t="s">
        <v>212</v>
      </c>
      <c r="L15" t="s">
        <v>212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5">
      <c r="A16" t="s">
        <v>229</v>
      </c>
      <c r="B16" t="s">
        <v>230</v>
      </c>
      <c r="C16" t="s">
        <v>209</v>
      </c>
      <c r="D16" t="s">
        <v>226</v>
      </c>
      <c r="E16" t="s">
        <v>227</v>
      </c>
      <c r="F16" t="s">
        <v>211</v>
      </c>
      <c r="G16" t="s">
        <v>211</v>
      </c>
      <c r="H16" t="s">
        <v>211</v>
      </c>
      <c r="I16" t="s">
        <v>211</v>
      </c>
      <c r="J16" t="s">
        <v>211</v>
      </c>
      <c r="K16" t="s">
        <v>212</v>
      </c>
      <c r="L16" t="s">
        <v>212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 t="s">
        <v>231</v>
      </c>
      <c r="B17" t="s">
        <v>41</v>
      </c>
      <c r="C17" t="s">
        <v>209</v>
      </c>
      <c r="D17" t="s">
        <v>226</v>
      </c>
      <c r="E17" t="s">
        <v>227</v>
      </c>
      <c r="F17" t="s">
        <v>211</v>
      </c>
      <c r="G17" t="s">
        <v>211</v>
      </c>
      <c r="H17" t="s">
        <v>211</v>
      </c>
      <c r="I17" t="s">
        <v>211</v>
      </c>
      <c r="J17" t="s">
        <v>211</v>
      </c>
      <c r="K17" t="s">
        <v>212</v>
      </c>
      <c r="L17" t="s">
        <v>212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 t="s">
        <v>232</v>
      </c>
      <c r="B18" t="s">
        <v>42</v>
      </c>
      <c r="C18" t="s">
        <v>209</v>
      </c>
      <c r="D18" t="s">
        <v>226</v>
      </c>
      <c r="E18" t="s">
        <v>227</v>
      </c>
      <c r="F18" t="s">
        <v>211</v>
      </c>
      <c r="G18" t="s">
        <v>211</v>
      </c>
      <c r="H18" t="s">
        <v>211</v>
      </c>
      <c r="I18" t="s">
        <v>211</v>
      </c>
      <c r="J18" t="s">
        <v>211</v>
      </c>
      <c r="K18" t="s">
        <v>212</v>
      </c>
      <c r="L18" t="s">
        <v>212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5">
      <c r="A19" t="s">
        <v>233</v>
      </c>
      <c r="B19" t="s">
        <v>43</v>
      </c>
      <c r="C19" t="s">
        <v>209</v>
      </c>
      <c r="D19" t="s">
        <v>226</v>
      </c>
      <c r="E19" t="s">
        <v>227</v>
      </c>
      <c r="F19" t="s">
        <v>211</v>
      </c>
      <c r="G19" t="s">
        <v>211</v>
      </c>
      <c r="H19" t="s">
        <v>211</v>
      </c>
      <c r="I19" t="s">
        <v>211</v>
      </c>
      <c r="J19" t="s">
        <v>211</v>
      </c>
      <c r="K19" t="s">
        <v>212</v>
      </c>
      <c r="L19" t="s">
        <v>212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hidden="1" x14ac:dyDescent="0.25">
      <c r="A20" t="s">
        <v>234</v>
      </c>
      <c r="B20" t="s">
        <v>44</v>
      </c>
      <c r="C20" t="s">
        <v>273</v>
      </c>
      <c r="D20" t="s">
        <v>226</v>
      </c>
      <c r="E20" t="s">
        <v>227</v>
      </c>
      <c r="F20" t="s">
        <v>211</v>
      </c>
      <c r="G20" t="s">
        <v>211</v>
      </c>
      <c r="H20" t="s">
        <v>211</v>
      </c>
      <c r="I20" t="s">
        <v>211</v>
      </c>
      <c r="J20" t="s">
        <v>211</v>
      </c>
      <c r="K20" t="s">
        <v>212</v>
      </c>
      <c r="L20" t="s">
        <v>212</v>
      </c>
      <c r="M20">
        <v>1</v>
      </c>
      <c r="N20">
        <v>1</v>
      </c>
      <c r="O20">
        <v>1</v>
      </c>
      <c r="P20">
        <v>1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5">
      <c r="A21" t="s">
        <v>235</v>
      </c>
      <c r="B21" t="s">
        <v>45</v>
      </c>
      <c r="C21" t="s">
        <v>209</v>
      </c>
      <c r="D21" t="s">
        <v>226</v>
      </c>
      <c r="E21" t="s">
        <v>227</v>
      </c>
      <c r="F21" t="s">
        <v>211</v>
      </c>
      <c r="G21" t="s">
        <v>211</v>
      </c>
      <c r="H21" t="s">
        <v>211</v>
      </c>
      <c r="I21" t="s">
        <v>211</v>
      </c>
      <c r="J21" t="s">
        <v>211</v>
      </c>
      <c r="K21" t="s">
        <v>212</v>
      </c>
      <c r="L21" t="s">
        <v>212</v>
      </c>
      <c r="M21">
        <v>1</v>
      </c>
      <c r="N21">
        <v>1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236</v>
      </c>
      <c r="B22" t="s">
        <v>237</v>
      </c>
      <c r="C22" t="s">
        <v>209</v>
      </c>
      <c r="D22" t="s">
        <v>226</v>
      </c>
      <c r="E22" t="s">
        <v>227</v>
      </c>
      <c r="F22" t="s">
        <v>211</v>
      </c>
      <c r="G22" t="s">
        <v>211</v>
      </c>
      <c r="H22" t="s">
        <v>211</v>
      </c>
      <c r="I22" t="s">
        <v>211</v>
      </c>
      <c r="J22" t="s">
        <v>211</v>
      </c>
      <c r="K22" t="s">
        <v>212</v>
      </c>
      <c r="L22" t="s">
        <v>212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 t="s">
        <v>238</v>
      </c>
      <c r="B23" t="s">
        <v>46</v>
      </c>
      <c r="C23" t="s">
        <v>209</v>
      </c>
      <c r="D23" t="s">
        <v>226</v>
      </c>
      <c r="E23" t="s">
        <v>227</v>
      </c>
      <c r="F23" t="s">
        <v>211</v>
      </c>
      <c r="G23" t="s">
        <v>211</v>
      </c>
      <c r="H23" t="s">
        <v>211</v>
      </c>
      <c r="I23" t="s">
        <v>211</v>
      </c>
      <c r="J23" t="s">
        <v>211</v>
      </c>
      <c r="K23" t="s">
        <v>212</v>
      </c>
      <c r="L23" t="s">
        <v>212</v>
      </c>
      <c r="M23">
        <v>1</v>
      </c>
      <c r="N23">
        <v>1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5">
      <c r="A24" t="s">
        <v>239</v>
      </c>
      <c r="B24" t="s">
        <v>240</v>
      </c>
      <c r="C24" t="s">
        <v>209</v>
      </c>
      <c r="D24" t="s">
        <v>226</v>
      </c>
      <c r="E24" t="s">
        <v>227</v>
      </c>
      <c r="F24" t="s">
        <v>211</v>
      </c>
      <c r="G24" t="s">
        <v>211</v>
      </c>
      <c r="H24" t="s">
        <v>211</v>
      </c>
      <c r="I24" t="s">
        <v>211</v>
      </c>
      <c r="J24" t="s">
        <v>211</v>
      </c>
      <c r="K24" t="s">
        <v>212</v>
      </c>
      <c r="L24" t="s">
        <v>212</v>
      </c>
      <c r="M24">
        <v>1</v>
      </c>
      <c r="N24">
        <v>1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5">
      <c r="A25" t="s">
        <v>241</v>
      </c>
      <c r="B25" t="s">
        <v>242</v>
      </c>
      <c r="C25" t="s">
        <v>209</v>
      </c>
      <c r="D25" t="s">
        <v>226</v>
      </c>
      <c r="E25" t="s">
        <v>227</v>
      </c>
      <c r="F25" t="s">
        <v>211</v>
      </c>
      <c r="G25" t="s">
        <v>211</v>
      </c>
      <c r="H25" t="s">
        <v>211</v>
      </c>
      <c r="I25" t="s">
        <v>211</v>
      </c>
      <c r="J25" t="s">
        <v>211</v>
      </c>
      <c r="K25" t="s">
        <v>212</v>
      </c>
      <c r="L25" t="s">
        <v>212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 t="s">
        <v>243</v>
      </c>
      <c r="B26" t="s">
        <v>47</v>
      </c>
      <c r="C26" t="s">
        <v>209</v>
      </c>
      <c r="D26" t="s">
        <v>226</v>
      </c>
      <c r="E26" t="s">
        <v>244</v>
      </c>
      <c r="F26" t="s">
        <v>211</v>
      </c>
      <c r="G26" t="s">
        <v>211</v>
      </c>
      <c r="H26" t="s">
        <v>211</v>
      </c>
      <c r="I26" t="s">
        <v>211</v>
      </c>
      <c r="J26" t="s">
        <v>211</v>
      </c>
      <c r="K26" t="s">
        <v>212</v>
      </c>
      <c r="L26" t="s">
        <v>212</v>
      </c>
      <c r="M26">
        <v>1</v>
      </c>
      <c r="N26">
        <v>1</v>
      </c>
      <c r="O26">
        <v>1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5">
      <c r="A27" t="s">
        <v>245</v>
      </c>
      <c r="B27" t="s">
        <v>48</v>
      </c>
      <c r="C27" t="s">
        <v>209</v>
      </c>
      <c r="D27" t="s">
        <v>226</v>
      </c>
      <c r="E27" t="s">
        <v>244</v>
      </c>
      <c r="F27" t="s">
        <v>211</v>
      </c>
      <c r="G27" t="s">
        <v>211</v>
      </c>
      <c r="H27" t="s">
        <v>211</v>
      </c>
      <c r="I27" t="s">
        <v>211</v>
      </c>
      <c r="J27" t="s">
        <v>211</v>
      </c>
      <c r="K27" t="s">
        <v>212</v>
      </c>
      <c r="L27" t="s">
        <v>212</v>
      </c>
      <c r="M27">
        <v>1</v>
      </c>
      <c r="N27">
        <v>1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5">
      <c r="A28" t="s">
        <v>246</v>
      </c>
      <c r="B28" t="s">
        <v>49</v>
      </c>
      <c r="C28" t="s">
        <v>209</v>
      </c>
      <c r="D28" t="s">
        <v>226</v>
      </c>
      <c r="E28" t="s">
        <v>244</v>
      </c>
      <c r="F28" t="s">
        <v>211</v>
      </c>
      <c r="G28" t="s">
        <v>211</v>
      </c>
      <c r="H28" t="s">
        <v>211</v>
      </c>
      <c r="I28" t="s">
        <v>211</v>
      </c>
      <c r="J28" t="s">
        <v>211</v>
      </c>
      <c r="K28" t="s">
        <v>212</v>
      </c>
      <c r="L28" t="s">
        <v>212</v>
      </c>
      <c r="M28">
        <v>1</v>
      </c>
      <c r="N28">
        <v>1</v>
      </c>
      <c r="O28">
        <v>1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5">
      <c r="A29" t="s">
        <v>247</v>
      </c>
      <c r="B29" t="s">
        <v>50</v>
      </c>
      <c r="C29" t="s">
        <v>209</v>
      </c>
      <c r="D29" t="s">
        <v>226</v>
      </c>
      <c r="E29" t="s">
        <v>244</v>
      </c>
      <c r="F29" t="s">
        <v>211</v>
      </c>
      <c r="G29" t="s">
        <v>211</v>
      </c>
      <c r="H29" t="s">
        <v>211</v>
      </c>
      <c r="I29" t="s">
        <v>211</v>
      </c>
      <c r="J29" t="s">
        <v>211</v>
      </c>
      <c r="K29" t="s">
        <v>212</v>
      </c>
      <c r="L29" t="s">
        <v>212</v>
      </c>
      <c r="M29">
        <v>1</v>
      </c>
      <c r="N29">
        <v>1</v>
      </c>
      <c r="O29">
        <v>1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hidden="1" x14ac:dyDescent="0.25">
      <c r="A30" t="s">
        <v>248</v>
      </c>
      <c r="B30" t="s">
        <v>51</v>
      </c>
      <c r="C30" t="s">
        <v>209</v>
      </c>
      <c r="D30" t="s">
        <v>226</v>
      </c>
      <c r="E30" t="s">
        <v>244</v>
      </c>
      <c r="F30" t="s">
        <v>211</v>
      </c>
      <c r="G30" t="s">
        <v>211</v>
      </c>
      <c r="H30" t="s">
        <v>211</v>
      </c>
      <c r="I30" t="s">
        <v>211</v>
      </c>
      <c r="J30" t="s">
        <v>211</v>
      </c>
      <c r="K30" t="s">
        <v>212</v>
      </c>
      <c r="L30" t="s">
        <v>212</v>
      </c>
      <c r="M30">
        <v>1</v>
      </c>
      <c r="N30">
        <v>1</v>
      </c>
      <c r="O30">
        <v>1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5">
      <c r="A31" t="s">
        <v>249</v>
      </c>
      <c r="B31" t="s">
        <v>52</v>
      </c>
      <c r="C31" t="s">
        <v>209</v>
      </c>
      <c r="D31" t="s">
        <v>226</v>
      </c>
      <c r="E31" t="s">
        <v>244</v>
      </c>
      <c r="F31" t="s">
        <v>211</v>
      </c>
      <c r="G31" t="s">
        <v>211</v>
      </c>
      <c r="H31" t="s">
        <v>211</v>
      </c>
      <c r="I31" t="s">
        <v>211</v>
      </c>
      <c r="J31" t="s">
        <v>211</v>
      </c>
      <c r="K31" t="s">
        <v>212</v>
      </c>
      <c r="L31" t="s">
        <v>212</v>
      </c>
      <c r="M31">
        <v>1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hidden="1" x14ac:dyDescent="0.25">
      <c r="A32" t="s">
        <v>250</v>
      </c>
      <c r="B32" t="s">
        <v>53</v>
      </c>
      <c r="C32" t="s">
        <v>273</v>
      </c>
      <c r="D32" t="s">
        <v>226</v>
      </c>
      <c r="E32" t="s">
        <v>244</v>
      </c>
      <c r="F32" t="s">
        <v>211</v>
      </c>
      <c r="G32" t="s">
        <v>211</v>
      </c>
      <c r="H32" t="s">
        <v>211</v>
      </c>
      <c r="I32" t="s">
        <v>211</v>
      </c>
      <c r="J32" t="s">
        <v>211</v>
      </c>
      <c r="K32" t="s">
        <v>212</v>
      </c>
      <c r="L32" t="s">
        <v>212</v>
      </c>
      <c r="M32">
        <v>1</v>
      </c>
      <c r="N32">
        <v>1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t="s">
        <v>251</v>
      </c>
      <c r="B33" t="s">
        <v>54</v>
      </c>
      <c r="C33" t="s">
        <v>209</v>
      </c>
      <c r="D33" t="s">
        <v>226</v>
      </c>
      <c r="E33" t="s">
        <v>244</v>
      </c>
      <c r="F33" t="s">
        <v>211</v>
      </c>
      <c r="G33" t="s">
        <v>211</v>
      </c>
      <c r="H33" t="s">
        <v>211</v>
      </c>
      <c r="I33" t="s">
        <v>211</v>
      </c>
      <c r="J33" t="s">
        <v>211</v>
      </c>
      <c r="K33" t="s">
        <v>212</v>
      </c>
      <c r="L33" t="s">
        <v>212</v>
      </c>
      <c r="M33">
        <v>1</v>
      </c>
      <c r="N33">
        <v>1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 t="s">
        <v>252</v>
      </c>
      <c r="B34" t="s">
        <v>55</v>
      </c>
      <c r="C34" t="s">
        <v>209</v>
      </c>
      <c r="D34" t="s">
        <v>226</v>
      </c>
      <c r="E34" t="s">
        <v>244</v>
      </c>
      <c r="F34" t="s">
        <v>211</v>
      </c>
      <c r="G34" t="s">
        <v>211</v>
      </c>
      <c r="H34" t="s">
        <v>211</v>
      </c>
      <c r="I34" t="s">
        <v>211</v>
      </c>
      <c r="J34" t="s">
        <v>211</v>
      </c>
      <c r="K34" t="s">
        <v>212</v>
      </c>
      <c r="L34" t="s">
        <v>212</v>
      </c>
      <c r="M34">
        <v>1</v>
      </c>
      <c r="N34">
        <v>1</v>
      </c>
      <c r="O34">
        <v>1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5">
      <c r="A35" t="s">
        <v>253</v>
      </c>
      <c r="B35" t="s">
        <v>56</v>
      </c>
      <c r="C35" t="s">
        <v>209</v>
      </c>
      <c r="D35" t="s">
        <v>226</v>
      </c>
      <c r="E35" t="s">
        <v>244</v>
      </c>
      <c r="F35" t="s">
        <v>211</v>
      </c>
      <c r="G35" t="s">
        <v>211</v>
      </c>
      <c r="H35" t="s">
        <v>211</v>
      </c>
      <c r="I35" t="s">
        <v>211</v>
      </c>
      <c r="J35" t="s">
        <v>211</v>
      </c>
      <c r="K35" t="s">
        <v>212</v>
      </c>
      <c r="L35" t="s">
        <v>212</v>
      </c>
      <c r="M35">
        <v>1</v>
      </c>
      <c r="N35">
        <v>1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5">
      <c r="A36" t="s">
        <v>254</v>
      </c>
      <c r="B36" t="s">
        <v>255</v>
      </c>
      <c r="C36" t="s">
        <v>209</v>
      </c>
      <c r="D36" t="s">
        <v>226</v>
      </c>
      <c r="E36" t="s">
        <v>244</v>
      </c>
      <c r="F36" t="s">
        <v>211</v>
      </c>
      <c r="G36" t="s">
        <v>211</v>
      </c>
      <c r="H36" t="s">
        <v>211</v>
      </c>
      <c r="I36" t="s">
        <v>211</v>
      </c>
      <c r="J36" t="s">
        <v>211</v>
      </c>
      <c r="K36" t="s">
        <v>212</v>
      </c>
      <c r="L36" t="s">
        <v>212</v>
      </c>
      <c r="M36">
        <v>1</v>
      </c>
      <c r="N36">
        <v>1</v>
      </c>
      <c r="O36">
        <v>1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5">
      <c r="A37" t="s">
        <v>271</v>
      </c>
      <c r="B37" t="s">
        <v>272</v>
      </c>
      <c r="C37" t="s">
        <v>209</v>
      </c>
      <c r="D37" t="s">
        <v>226</v>
      </c>
      <c r="E37" t="s">
        <v>244</v>
      </c>
      <c r="F37" t="s">
        <v>211</v>
      </c>
      <c r="G37" t="s">
        <v>211</v>
      </c>
      <c r="H37" t="s">
        <v>211</v>
      </c>
      <c r="I37" t="s">
        <v>211</v>
      </c>
      <c r="J37" t="s">
        <v>211</v>
      </c>
      <c r="K37" t="s">
        <v>212</v>
      </c>
      <c r="L37" t="s">
        <v>212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 t="s">
        <v>358</v>
      </c>
      <c r="B38" t="s">
        <v>359</v>
      </c>
      <c r="C38" t="s">
        <v>209</v>
      </c>
      <c r="D38" t="s">
        <v>210</v>
      </c>
      <c r="E38" t="s">
        <v>211</v>
      </c>
      <c r="F38" t="s">
        <v>211</v>
      </c>
      <c r="G38" t="s">
        <v>212</v>
      </c>
      <c r="H38" t="s">
        <v>212</v>
      </c>
      <c r="I38" t="s">
        <v>212</v>
      </c>
      <c r="J38" t="s">
        <v>214</v>
      </c>
      <c r="K38" t="s">
        <v>211</v>
      </c>
      <c r="L38" t="s">
        <v>211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30"/>
  <sheetViews>
    <sheetView workbookViewId="0">
      <selection activeCell="H13" sqref="H13"/>
    </sheetView>
  </sheetViews>
  <sheetFormatPr baseColWidth="10" defaultRowHeight="15" x14ac:dyDescent="0.25"/>
  <cols>
    <col min="1" max="1" width="15.28515625" customWidth="1"/>
    <col min="2" max="2" width="23.5703125" customWidth="1"/>
    <col min="3" max="3" width="18.140625" customWidth="1"/>
    <col min="4" max="5" width="15.28515625" customWidth="1"/>
  </cols>
  <sheetData>
    <row r="1" spans="1:6" x14ac:dyDescent="0.25">
      <c r="A1" t="s">
        <v>199</v>
      </c>
      <c r="B1" t="s">
        <v>68</v>
      </c>
      <c r="C1" t="s">
        <v>200</v>
      </c>
      <c r="D1" t="s">
        <v>201</v>
      </c>
      <c r="E1" t="s">
        <v>187</v>
      </c>
      <c r="F1" t="s">
        <v>364</v>
      </c>
    </row>
    <row r="2" spans="1:6" x14ac:dyDescent="0.25">
      <c r="C2" s="73"/>
      <c r="D2" s="73"/>
    </row>
    <row r="3" spans="1:6" x14ac:dyDescent="0.25">
      <c r="A3" t="s">
        <v>220</v>
      </c>
      <c r="B3" t="s">
        <v>15</v>
      </c>
      <c r="C3" s="73">
        <v>46181</v>
      </c>
      <c r="D3" s="73">
        <v>46185</v>
      </c>
      <c r="E3" t="s">
        <v>268</v>
      </c>
      <c r="F3" t="s">
        <v>365</v>
      </c>
    </row>
    <row r="4" spans="1:6" x14ac:dyDescent="0.25">
      <c r="A4" t="s">
        <v>213</v>
      </c>
      <c r="B4" t="s">
        <v>9</v>
      </c>
      <c r="C4" s="73">
        <v>46181</v>
      </c>
      <c r="D4" s="73">
        <v>46182</v>
      </c>
      <c r="E4" t="s">
        <v>268</v>
      </c>
      <c r="F4" t="s">
        <v>365</v>
      </c>
    </row>
    <row r="5" spans="1:6" x14ac:dyDescent="0.25">
      <c r="A5" t="s">
        <v>224</v>
      </c>
      <c r="B5" t="s">
        <v>19</v>
      </c>
      <c r="C5" s="73">
        <v>46181</v>
      </c>
      <c r="D5" s="73">
        <v>46192</v>
      </c>
      <c r="E5" t="s">
        <v>357</v>
      </c>
      <c r="F5" t="s">
        <v>365</v>
      </c>
    </row>
    <row r="6" spans="1:6" x14ac:dyDescent="0.25">
      <c r="A6" t="s">
        <v>223</v>
      </c>
      <c r="B6" t="s">
        <v>18</v>
      </c>
      <c r="C6" s="73">
        <v>46188</v>
      </c>
      <c r="D6" s="73">
        <v>46199</v>
      </c>
      <c r="E6" t="s">
        <v>357</v>
      </c>
      <c r="F6" t="s">
        <v>365</v>
      </c>
    </row>
    <row r="7" spans="1:6" x14ac:dyDescent="0.25">
      <c r="A7" t="s">
        <v>222</v>
      </c>
      <c r="B7" t="s">
        <v>17</v>
      </c>
      <c r="C7" s="73">
        <v>46195</v>
      </c>
      <c r="D7" s="73">
        <v>46199</v>
      </c>
      <c r="E7" t="s">
        <v>357</v>
      </c>
      <c r="F7" t="s">
        <v>365</v>
      </c>
    </row>
    <row r="8" spans="1:6" x14ac:dyDescent="0.25">
      <c r="A8" t="s">
        <v>216</v>
      </c>
      <c r="B8" t="s">
        <v>11</v>
      </c>
      <c r="C8" s="73">
        <v>46190</v>
      </c>
      <c r="D8" s="73">
        <v>46190</v>
      </c>
      <c r="E8" t="s">
        <v>357</v>
      </c>
      <c r="F8" t="s">
        <v>365</v>
      </c>
    </row>
    <row r="9" spans="1:6" x14ac:dyDescent="0.25">
      <c r="A9" t="s">
        <v>216</v>
      </c>
      <c r="B9" t="s">
        <v>11</v>
      </c>
      <c r="C9" s="73">
        <v>46197</v>
      </c>
      <c r="D9" s="73">
        <v>46197</v>
      </c>
      <c r="E9" t="s">
        <v>357</v>
      </c>
      <c r="F9" t="s">
        <v>365</v>
      </c>
    </row>
    <row r="10" spans="1:6" x14ac:dyDescent="0.25">
      <c r="A10" t="s">
        <v>208</v>
      </c>
      <c r="B10" t="s">
        <v>8</v>
      </c>
      <c r="C10" s="73">
        <v>46230</v>
      </c>
      <c r="D10" s="73">
        <v>46234</v>
      </c>
      <c r="E10" t="s">
        <v>357</v>
      </c>
      <c r="F10" t="s">
        <v>365</v>
      </c>
    </row>
    <row r="11" spans="1:6" x14ac:dyDescent="0.25">
      <c r="A11" t="s">
        <v>213</v>
      </c>
      <c r="B11" t="s">
        <v>9</v>
      </c>
      <c r="C11" s="73">
        <v>46223</v>
      </c>
      <c r="D11" s="73">
        <v>46234</v>
      </c>
      <c r="E11" t="s">
        <v>357</v>
      </c>
      <c r="F11" t="s">
        <v>365</v>
      </c>
    </row>
    <row r="12" spans="1:6" x14ac:dyDescent="0.25">
      <c r="A12" t="s">
        <v>216</v>
      </c>
      <c r="B12" t="s">
        <v>11</v>
      </c>
      <c r="C12" s="73">
        <v>46204</v>
      </c>
      <c r="D12" s="73">
        <v>46204</v>
      </c>
      <c r="E12" t="s">
        <v>357</v>
      </c>
      <c r="F12" t="s">
        <v>365</v>
      </c>
    </row>
    <row r="13" spans="1:6" x14ac:dyDescent="0.25">
      <c r="A13" t="s">
        <v>216</v>
      </c>
      <c r="B13" t="s">
        <v>11</v>
      </c>
      <c r="C13" s="73">
        <v>46216</v>
      </c>
      <c r="D13" s="73">
        <v>46234</v>
      </c>
      <c r="E13" t="s">
        <v>357</v>
      </c>
      <c r="F13" t="s">
        <v>365</v>
      </c>
    </row>
    <row r="14" spans="1:6" x14ac:dyDescent="0.25">
      <c r="A14" t="s">
        <v>217</v>
      </c>
      <c r="B14" t="s">
        <v>12</v>
      </c>
      <c r="C14" s="73">
        <v>46220</v>
      </c>
      <c r="D14" s="73">
        <v>46234</v>
      </c>
      <c r="E14" t="s">
        <v>357</v>
      </c>
      <c r="F14" t="s">
        <v>365</v>
      </c>
    </row>
    <row r="15" spans="1:6" x14ac:dyDescent="0.25">
      <c r="A15" t="s">
        <v>218</v>
      </c>
      <c r="B15" t="s">
        <v>13</v>
      </c>
      <c r="C15" s="73">
        <v>46216</v>
      </c>
      <c r="D15" s="73">
        <v>46234</v>
      </c>
      <c r="E15" t="s">
        <v>357</v>
      </c>
      <c r="F15" t="s">
        <v>365</v>
      </c>
    </row>
    <row r="16" spans="1:6" x14ac:dyDescent="0.25">
      <c r="A16" t="s">
        <v>218</v>
      </c>
      <c r="B16" t="s">
        <v>13</v>
      </c>
      <c r="C16" s="73">
        <v>46206</v>
      </c>
      <c r="D16" s="73">
        <v>46206</v>
      </c>
      <c r="E16" t="s">
        <v>357</v>
      </c>
      <c r="F16" t="s">
        <v>365</v>
      </c>
    </row>
    <row r="17" spans="1:6" x14ac:dyDescent="0.25">
      <c r="A17" t="s">
        <v>219</v>
      </c>
      <c r="B17" t="s">
        <v>14</v>
      </c>
      <c r="C17" s="73">
        <v>46223</v>
      </c>
      <c r="D17" s="73">
        <v>46234</v>
      </c>
      <c r="E17" t="s">
        <v>357</v>
      </c>
      <c r="F17" t="s">
        <v>365</v>
      </c>
    </row>
    <row r="18" spans="1:6" x14ac:dyDescent="0.25">
      <c r="A18" t="s">
        <v>220</v>
      </c>
      <c r="B18" t="s">
        <v>15</v>
      </c>
      <c r="C18" s="73">
        <v>46223</v>
      </c>
      <c r="D18" s="73">
        <v>46234</v>
      </c>
      <c r="E18" t="s">
        <v>357</v>
      </c>
      <c r="F18" t="s">
        <v>365</v>
      </c>
    </row>
    <row r="19" spans="1:6" x14ac:dyDescent="0.25">
      <c r="A19" t="s">
        <v>221</v>
      </c>
      <c r="B19" t="s">
        <v>16</v>
      </c>
      <c r="C19" s="73">
        <v>46216</v>
      </c>
      <c r="D19" s="73">
        <v>46234</v>
      </c>
      <c r="E19" t="s">
        <v>357</v>
      </c>
      <c r="F19" t="s">
        <v>365</v>
      </c>
    </row>
    <row r="20" spans="1:6" x14ac:dyDescent="0.25">
      <c r="A20" t="s">
        <v>222</v>
      </c>
      <c r="B20" t="s">
        <v>17</v>
      </c>
      <c r="C20" s="73">
        <v>46223</v>
      </c>
      <c r="D20" s="73">
        <v>46234</v>
      </c>
      <c r="E20" t="s">
        <v>357</v>
      </c>
      <c r="F20" t="s">
        <v>365</v>
      </c>
    </row>
    <row r="21" spans="1:6" x14ac:dyDescent="0.25">
      <c r="A21" t="s">
        <v>224</v>
      </c>
      <c r="B21" t="s">
        <v>19</v>
      </c>
      <c r="C21" s="73">
        <v>46230</v>
      </c>
      <c r="D21" s="73">
        <v>46234</v>
      </c>
      <c r="E21" t="s">
        <v>357</v>
      </c>
      <c r="F21" t="s">
        <v>365</v>
      </c>
    </row>
    <row r="22" spans="1:6" x14ac:dyDescent="0.25">
      <c r="A22" t="s">
        <v>221</v>
      </c>
      <c r="B22" t="s">
        <v>16</v>
      </c>
      <c r="C22" s="73">
        <v>46206</v>
      </c>
      <c r="D22" s="73">
        <v>46206</v>
      </c>
      <c r="E22" t="s">
        <v>357</v>
      </c>
      <c r="F22" t="s">
        <v>365</v>
      </c>
    </row>
    <row r="23" spans="1:6" x14ac:dyDescent="0.25">
      <c r="A23" t="s">
        <v>358</v>
      </c>
      <c r="B23" t="s">
        <v>359</v>
      </c>
      <c r="C23" s="73">
        <v>46188</v>
      </c>
      <c r="D23" s="73">
        <v>46192</v>
      </c>
      <c r="E23" t="s">
        <v>357</v>
      </c>
      <c r="F23" t="s">
        <v>365</v>
      </c>
    </row>
    <row r="24" spans="1:6" x14ac:dyDescent="0.25">
      <c r="A24" t="s">
        <v>358</v>
      </c>
      <c r="B24" t="s">
        <v>359</v>
      </c>
      <c r="C24" s="73">
        <v>46184</v>
      </c>
      <c r="D24" s="73">
        <v>46184</v>
      </c>
      <c r="E24" t="s">
        <v>268</v>
      </c>
      <c r="F24" t="s">
        <v>365</v>
      </c>
    </row>
    <row r="25" spans="1:6" x14ac:dyDescent="0.25">
      <c r="A25" t="s">
        <v>358</v>
      </c>
      <c r="B25" t="s">
        <v>359</v>
      </c>
      <c r="C25" s="73">
        <v>46203</v>
      </c>
      <c r="D25" s="73">
        <v>46203</v>
      </c>
      <c r="E25" t="s">
        <v>360</v>
      </c>
      <c r="F25" t="s">
        <v>365</v>
      </c>
    </row>
    <row r="26" spans="1:6" x14ac:dyDescent="0.25">
      <c r="A26" t="s">
        <v>358</v>
      </c>
      <c r="B26" t="s">
        <v>359</v>
      </c>
      <c r="C26" s="73">
        <v>46185</v>
      </c>
      <c r="D26" s="73">
        <v>46185</v>
      </c>
      <c r="E26" t="s">
        <v>268</v>
      </c>
      <c r="F26" t="s">
        <v>365</v>
      </c>
    </row>
    <row r="27" spans="1:6" x14ac:dyDescent="0.25">
      <c r="A27" t="s">
        <v>215</v>
      </c>
      <c r="B27" t="s">
        <v>10</v>
      </c>
      <c r="C27" s="73">
        <v>46185</v>
      </c>
      <c r="D27" s="73">
        <v>46185</v>
      </c>
      <c r="E27" t="s">
        <v>357</v>
      </c>
      <c r="F27" t="s">
        <v>365</v>
      </c>
    </row>
    <row r="28" spans="1:6" x14ac:dyDescent="0.25">
      <c r="A28" t="s">
        <v>216</v>
      </c>
      <c r="B28" t="s">
        <v>11</v>
      </c>
      <c r="C28" s="73">
        <v>46185</v>
      </c>
      <c r="D28" s="73">
        <v>46185</v>
      </c>
      <c r="E28" t="s">
        <v>357</v>
      </c>
      <c r="F28" t="s">
        <v>365</v>
      </c>
    </row>
    <row r="29" spans="1:6" x14ac:dyDescent="0.25">
      <c r="A29" t="s">
        <v>217</v>
      </c>
      <c r="B29" t="s">
        <v>12</v>
      </c>
      <c r="C29" s="73">
        <v>46185</v>
      </c>
      <c r="D29" s="73">
        <v>46185</v>
      </c>
      <c r="E29" t="s">
        <v>357</v>
      </c>
      <c r="F29" t="s">
        <v>365</v>
      </c>
    </row>
    <row r="30" spans="1:6" x14ac:dyDescent="0.25">
      <c r="A30" t="s">
        <v>218</v>
      </c>
      <c r="B30" t="s">
        <v>13</v>
      </c>
      <c r="C30" s="73">
        <v>46185</v>
      </c>
      <c r="D30" s="73">
        <v>46185</v>
      </c>
      <c r="E30" t="s">
        <v>357</v>
      </c>
      <c r="F30" t="s">
        <v>365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0"/>
  <sheetViews>
    <sheetView workbookViewId="0">
      <selection activeCell="A2" sqref="A2:C25"/>
    </sheetView>
  </sheetViews>
  <sheetFormatPr baseColWidth="10" defaultRowHeight="15" x14ac:dyDescent="0.25"/>
  <cols>
    <col min="1" max="1" width="16.140625" customWidth="1"/>
    <col min="2" max="3" width="22" customWidth="1"/>
  </cols>
  <sheetData>
    <row r="1" spans="1:3" x14ac:dyDescent="0.25">
      <c r="A1" s="73" t="s">
        <v>27</v>
      </c>
      <c r="B1" t="s">
        <v>68</v>
      </c>
      <c r="C1" t="s">
        <v>187</v>
      </c>
    </row>
    <row r="2" spans="1:3" x14ac:dyDescent="0.25">
      <c r="A2" s="73">
        <v>46023</v>
      </c>
      <c r="B2" t="s">
        <v>256</v>
      </c>
      <c r="C2" t="s">
        <v>210</v>
      </c>
    </row>
    <row r="3" spans="1:3" x14ac:dyDescent="0.25">
      <c r="A3" s="73">
        <v>46082</v>
      </c>
      <c r="B3" t="s">
        <v>257</v>
      </c>
      <c r="C3" t="s">
        <v>210</v>
      </c>
    </row>
    <row r="4" spans="1:3" x14ac:dyDescent="0.25">
      <c r="A4" s="73">
        <v>46115</v>
      </c>
      <c r="B4" t="s">
        <v>258</v>
      </c>
      <c r="C4" t="s">
        <v>259</v>
      </c>
    </row>
    <row r="5" spans="1:3" x14ac:dyDescent="0.25">
      <c r="A5" s="73">
        <v>46118</v>
      </c>
      <c r="B5" t="s">
        <v>260</v>
      </c>
      <c r="C5" t="s">
        <v>259</v>
      </c>
    </row>
    <row r="6" spans="1:3" x14ac:dyDescent="0.25">
      <c r="A6" s="73">
        <v>46143</v>
      </c>
      <c r="B6" t="s">
        <v>261</v>
      </c>
      <c r="C6" t="s">
        <v>210</v>
      </c>
    </row>
    <row r="7" spans="1:3" x14ac:dyDescent="0.25">
      <c r="A7" s="73">
        <v>46156</v>
      </c>
      <c r="B7" t="s">
        <v>262</v>
      </c>
      <c r="C7" t="s">
        <v>259</v>
      </c>
    </row>
    <row r="8" spans="1:3" x14ac:dyDescent="0.25">
      <c r="A8" s="73">
        <v>46157</v>
      </c>
      <c r="B8" t="s">
        <v>294</v>
      </c>
      <c r="C8" t="s">
        <v>267</v>
      </c>
    </row>
    <row r="9" spans="1:3" x14ac:dyDescent="0.25">
      <c r="A9" s="73">
        <v>46167</v>
      </c>
      <c r="B9" t="s">
        <v>263</v>
      </c>
      <c r="C9" t="s">
        <v>259</v>
      </c>
    </row>
    <row r="10" spans="1:3" x14ac:dyDescent="0.25">
      <c r="A10" s="73">
        <v>46199</v>
      </c>
      <c r="B10" t="s">
        <v>361</v>
      </c>
      <c r="C10" t="s">
        <v>267</v>
      </c>
    </row>
    <row r="11" spans="1:3" x14ac:dyDescent="0.25">
      <c r="A11" s="73">
        <v>46235</v>
      </c>
      <c r="B11" t="s">
        <v>264</v>
      </c>
      <c r="C11" t="s">
        <v>210</v>
      </c>
    </row>
    <row r="12" spans="1:3" x14ac:dyDescent="0.25">
      <c r="A12" s="73">
        <v>46286</v>
      </c>
      <c r="B12" t="s">
        <v>265</v>
      </c>
      <c r="C12" t="s">
        <v>259</v>
      </c>
    </row>
    <row r="13" spans="1:3" x14ac:dyDescent="0.25">
      <c r="A13" s="73">
        <v>46379</v>
      </c>
      <c r="B13" t="s">
        <v>292</v>
      </c>
      <c r="C13" t="s">
        <v>269</v>
      </c>
    </row>
    <row r="14" spans="1:3" x14ac:dyDescent="0.25">
      <c r="A14" s="73">
        <v>46380</v>
      </c>
      <c r="B14" t="s">
        <v>292</v>
      </c>
      <c r="C14" t="s">
        <v>269</v>
      </c>
    </row>
    <row r="15" spans="1:3" x14ac:dyDescent="0.25">
      <c r="A15" s="73">
        <v>46381</v>
      </c>
      <c r="B15" t="s">
        <v>266</v>
      </c>
      <c r="C15" t="s">
        <v>269</v>
      </c>
    </row>
    <row r="16" spans="1:3" x14ac:dyDescent="0.25">
      <c r="A16" s="73">
        <v>46382</v>
      </c>
      <c r="B16" t="s">
        <v>292</v>
      </c>
      <c r="C16" t="s">
        <v>269</v>
      </c>
    </row>
    <row r="17" spans="1:3" x14ac:dyDescent="0.25">
      <c r="A17" s="73">
        <v>46383</v>
      </c>
      <c r="B17" t="s">
        <v>292</v>
      </c>
      <c r="C17" t="s">
        <v>269</v>
      </c>
    </row>
    <row r="18" spans="1:3" x14ac:dyDescent="0.25">
      <c r="A18" s="73">
        <v>46384</v>
      </c>
      <c r="B18" t="s">
        <v>292</v>
      </c>
      <c r="C18" t="s">
        <v>269</v>
      </c>
    </row>
    <row r="19" spans="1:3" x14ac:dyDescent="0.25">
      <c r="A19" s="73">
        <v>46385</v>
      </c>
      <c r="B19" t="s">
        <v>292</v>
      </c>
      <c r="C19" t="s">
        <v>269</v>
      </c>
    </row>
    <row r="20" spans="1:3" x14ac:dyDescent="0.25">
      <c r="A20" s="73">
        <v>46386</v>
      </c>
      <c r="B20" t="s">
        <v>292</v>
      </c>
      <c r="C20" t="s">
        <v>269</v>
      </c>
    </row>
    <row r="21" spans="1:3" x14ac:dyDescent="0.25">
      <c r="A21" s="73">
        <v>46387</v>
      </c>
      <c r="B21" t="s">
        <v>292</v>
      </c>
      <c r="C21" t="s">
        <v>269</v>
      </c>
    </row>
    <row r="22" spans="1:3" x14ac:dyDescent="0.25">
      <c r="A22" s="73">
        <v>46388</v>
      </c>
      <c r="B22" t="s">
        <v>292</v>
      </c>
      <c r="C22" t="s">
        <v>269</v>
      </c>
    </row>
    <row r="23" spans="1:3" x14ac:dyDescent="0.25">
      <c r="A23" s="73">
        <v>46389</v>
      </c>
      <c r="B23" t="s">
        <v>292</v>
      </c>
      <c r="C23" t="s">
        <v>269</v>
      </c>
    </row>
    <row r="24" spans="1:3" x14ac:dyDescent="0.25">
      <c r="A24" s="73"/>
    </row>
    <row r="25" spans="1:3" x14ac:dyDescent="0.25">
      <c r="A25" s="73"/>
    </row>
    <row r="26" spans="1:3" x14ac:dyDescent="0.25">
      <c r="A26" s="73"/>
    </row>
    <row r="27" spans="1:3" x14ac:dyDescent="0.25">
      <c r="A27" s="73"/>
    </row>
    <row r="28" spans="1:3" x14ac:dyDescent="0.25">
      <c r="A28" s="73"/>
    </row>
    <row r="29" spans="1:3" x14ac:dyDescent="0.25">
      <c r="A29" s="73"/>
    </row>
    <row r="30" spans="1:3" x14ac:dyDescent="0.25">
      <c r="A30" s="73"/>
    </row>
    <row r="31" spans="1:3" x14ac:dyDescent="0.25">
      <c r="A31" s="73"/>
    </row>
    <row r="32" spans="1:3" x14ac:dyDescent="0.25">
      <c r="A32" s="73"/>
    </row>
    <row r="34" spans="1:1" x14ac:dyDescent="0.25">
      <c r="A34" s="73"/>
    </row>
    <row r="35" spans="1:1" x14ac:dyDescent="0.25">
      <c r="A35" s="73"/>
    </row>
    <row r="36" spans="1:1" x14ac:dyDescent="0.25">
      <c r="A36" s="73"/>
    </row>
    <row r="37" spans="1:1" x14ac:dyDescent="0.25">
      <c r="A37" s="73"/>
    </row>
    <row r="38" spans="1:1" x14ac:dyDescent="0.25">
      <c r="A38" s="73"/>
    </row>
    <row r="39" spans="1:1" x14ac:dyDescent="0.25">
      <c r="A39" s="73"/>
    </row>
    <row r="40" spans="1:1" x14ac:dyDescent="0.25">
      <c r="A40" s="73"/>
    </row>
    <row r="41" spans="1:1" x14ac:dyDescent="0.25">
      <c r="A41" s="73"/>
    </row>
    <row r="42" spans="1:1" x14ac:dyDescent="0.25">
      <c r="A42" s="73"/>
    </row>
    <row r="44" spans="1:1" x14ac:dyDescent="0.25">
      <c r="A44" s="73"/>
    </row>
    <row r="45" spans="1:1" x14ac:dyDescent="0.25">
      <c r="A45" s="73"/>
    </row>
    <row r="46" spans="1:1" x14ac:dyDescent="0.25">
      <c r="A46" s="73"/>
    </row>
    <row r="47" spans="1:1" x14ac:dyDescent="0.25">
      <c r="A47" s="73"/>
    </row>
    <row r="48" spans="1:1" x14ac:dyDescent="0.25">
      <c r="A48" s="73"/>
    </row>
    <row r="49" spans="1:1" x14ac:dyDescent="0.25">
      <c r="A49" s="73"/>
    </row>
    <row r="50" spans="1:1" x14ac:dyDescent="0.25">
      <c r="A50" s="73"/>
    </row>
    <row r="51" spans="1:1" x14ac:dyDescent="0.25">
      <c r="A51" s="73"/>
    </row>
    <row r="52" spans="1:1" x14ac:dyDescent="0.25">
      <c r="A52" s="73"/>
    </row>
    <row r="53" spans="1:1" x14ac:dyDescent="0.25">
      <c r="A53" s="73"/>
    </row>
    <row r="54" spans="1:1" x14ac:dyDescent="0.25">
      <c r="A54" s="73"/>
    </row>
    <row r="55" spans="1:1" x14ac:dyDescent="0.25">
      <c r="A55" s="73"/>
    </row>
    <row r="57" spans="1:1" x14ac:dyDescent="0.25">
      <c r="A57" s="73"/>
    </row>
    <row r="58" spans="1:1" x14ac:dyDescent="0.25">
      <c r="A58" s="73"/>
    </row>
    <row r="59" spans="1:1" x14ac:dyDescent="0.25">
      <c r="A59" s="73"/>
    </row>
    <row r="60" spans="1:1" x14ac:dyDescent="0.25">
      <c r="A60" s="73"/>
    </row>
    <row r="61" spans="1:1" x14ac:dyDescent="0.25">
      <c r="A61" s="73"/>
    </row>
    <row r="62" spans="1:1" x14ac:dyDescent="0.25">
      <c r="A62" s="73"/>
    </row>
    <row r="63" spans="1:1" x14ac:dyDescent="0.25">
      <c r="A63" s="73"/>
    </row>
    <row r="64" spans="1:1" x14ac:dyDescent="0.25">
      <c r="A64" s="73"/>
    </row>
    <row r="65" spans="1:1" x14ac:dyDescent="0.25">
      <c r="A65" s="73"/>
    </row>
    <row r="66" spans="1:1" x14ac:dyDescent="0.25">
      <c r="A66" s="73"/>
    </row>
    <row r="67" spans="1:1" x14ac:dyDescent="0.25">
      <c r="A67" s="73"/>
    </row>
    <row r="68" spans="1:1" x14ac:dyDescent="0.25">
      <c r="A68" s="73"/>
    </row>
    <row r="69" spans="1:1" x14ac:dyDescent="0.25">
      <c r="A69" s="73"/>
    </row>
    <row r="70" spans="1:1" x14ac:dyDescent="0.25">
      <c r="A70" s="73"/>
    </row>
    <row r="71" spans="1:1" x14ac:dyDescent="0.25">
      <c r="A71" s="73"/>
    </row>
    <row r="72" spans="1:1" x14ac:dyDescent="0.25">
      <c r="A72" s="73"/>
    </row>
    <row r="73" spans="1:1" x14ac:dyDescent="0.25">
      <c r="A73" s="73"/>
    </row>
    <row r="74" spans="1:1" x14ac:dyDescent="0.25">
      <c r="A74" s="73"/>
    </row>
    <row r="77" spans="1:1" x14ac:dyDescent="0.25">
      <c r="A77" s="73"/>
    </row>
    <row r="78" spans="1:1" x14ac:dyDescent="0.25">
      <c r="A78" s="73"/>
    </row>
    <row r="79" spans="1:1" x14ac:dyDescent="0.25">
      <c r="A79" s="73"/>
    </row>
    <row r="80" spans="1:1" x14ac:dyDescent="0.25">
      <c r="A80" s="73"/>
    </row>
  </sheetData>
  <sortState ref="A1:C28">
    <sortCondition ref="A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404"/>
  <sheetViews>
    <sheetView workbookViewId="0">
      <selection activeCell="A2" sqref="A2:D143"/>
    </sheetView>
  </sheetViews>
  <sheetFormatPr baseColWidth="10" defaultRowHeight="15" x14ac:dyDescent="0.25"/>
  <cols>
    <col min="1" max="1" width="14.85546875" customWidth="1"/>
    <col min="2" max="2" width="13.85546875" customWidth="1"/>
    <col min="3" max="3" width="19.7109375" customWidth="1"/>
    <col min="4" max="4" width="20" customWidth="1"/>
  </cols>
  <sheetData>
    <row r="1" spans="1:4" x14ac:dyDescent="0.25">
      <c r="A1" s="73" t="s">
        <v>27</v>
      </c>
      <c r="B1" t="s">
        <v>188</v>
      </c>
      <c r="C1" t="s">
        <v>187</v>
      </c>
      <c r="D1" t="s">
        <v>287</v>
      </c>
    </row>
    <row r="2" spans="1:4" x14ac:dyDescent="0.25">
      <c r="A2" s="73">
        <v>46023</v>
      </c>
      <c r="B2" t="s">
        <v>244</v>
      </c>
      <c r="C2" t="s">
        <v>290</v>
      </c>
      <c r="D2" t="s">
        <v>291</v>
      </c>
    </row>
    <row r="3" spans="1:4" x14ac:dyDescent="0.25">
      <c r="A3" s="73">
        <v>46025</v>
      </c>
      <c r="B3" t="s">
        <v>244</v>
      </c>
      <c r="C3" t="s">
        <v>289</v>
      </c>
      <c r="D3" t="s">
        <v>291</v>
      </c>
    </row>
    <row r="4" spans="1:4" x14ac:dyDescent="0.25">
      <c r="A4" s="73">
        <v>46026</v>
      </c>
      <c r="B4" t="s">
        <v>244</v>
      </c>
      <c r="C4" t="s">
        <v>289</v>
      </c>
      <c r="D4" t="s">
        <v>291</v>
      </c>
    </row>
    <row r="5" spans="1:4" x14ac:dyDescent="0.25">
      <c r="A5" s="73">
        <v>46032</v>
      </c>
      <c r="B5" t="s">
        <v>227</v>
      </c>
      <c r="C5" t="s">
        <v>289</v>
      </c>
      <c r="D5" t="s">
        <v>291</v>
      </c>
    </row>
    <row r="6" spans="1:4" x14ac:dyDescent="0.25">
      <c r="A6" s="73">
        <v>46033</v>
      </c>
      <c r="B6" t="s">
        <v>227</v>
      </c>
      <c r="C6" t="s">
        <v>289</v>
      </c>
      <c r="D6" t="s">
        <v>291</v>
      </c>
    </row>
    <row r="7" spans="1:4" x14ac:dyDescent="0.25">
      <c r="A7" s="73">
        <v>46039</v>
      </c>
      <c r="B7" t="s">
        <v>244</v>
      </c>
      <c r="C7" t="s">
        <v>289</v>
      </c>
      <c r="D7" t="s">
        <v>291</v>
      </c>
    </row>
    <row r="8" spans="1:4" x14ac:dyDescent="0.25">
      <c r="A8" s="73">
        <v>46040</v>
      </c>
      <c r="B8" t="s">
        <v>244</v>
      </c>
      <c r="C8" t="s">
        <v>289</v>
      </c>
      <c r="D8" t="s">
        <v>291</v>
      </c>
    </row>
    <row r="9" spans="1:4" x14ac:dyDescent="0.25">
      <c r="A9" s="73">
        <v>46046</v>
      </c>
      <c r="B9" t="s">
        <v>227</v>
      </c>
      <c r="C9" t="s">
        <v>289</v>
      </c>
      <c r="D9" t="s">
        <v>291</v>
      </c>
    </row>
    <row r="10" spans="1:4" x14ac:dyDescent="0.25">
      <c r="A10" s="73">
        <v>46047</v>
      </c>
      <c r="B10" t="s">
        <v>227</v>
      </c>
      <c r="C10" t="s">
        <v>289</v>
      </c>
      <c r="D10" t="s">
        <v>291</v>
      </c>
    </row>
    <row r="11" spans="1:4" x14ac:dyDescent="0.25">
      <c r="A11" s="73">
        <v>46053</v>
      </c>
      <c r="B11" t="s">
        <v>244</v>
      </c>
      <c r="C11" t="s">
        <v>289</v>
      </c>
      <c r="D11" t="s">
        <v>291</v>
      </c>
    </row>
    <row r="12" spans="1:4" x14ac:dyDescent="0.25">
      <c r="A12" s="73">
        <v>46054</v>
      </c>
      <c r="B12" t="s">
        <v>244</v>
      </c>
      <c r="C12" t="s">
        <v>289</v>
      </c>
      <c r="D12" t="s">
        <v>291</v>
      </c>
    </row>
    <row r="13" spans="1:4" x14ac:dyDescent="0.25">
      <c r="A13" s="73">
        <v>46060</v>
      </c>
      <c r="B13" t="s">
        <v>227</v>
      </c>
      <c r="C13" t="s">
        <v>289</v>
      </c>
      <c r="D13" t="s">
        <v>291</v>
      </c>
    </row>
    <row r="14" spans="1:4" x14ac:dyDescent="0.25">
      <c r="A14" s="73">
        <v>46061</v>
      </c>
      <c r="B14" t="s">
        <v>227</v>
      </c>
      <c r="C14" t="s">
        <v>289</v>
      </c>
      <c r="D14" t="s">
        <v>291</v>
      </c>
    </row>
    <row r="15" spans="1:4" x14ac:dyDescent="0.25">
      <c r="A15" s="73">
        <v>46067</v>
      </c>
      <c r="B15" t="s">
        <v>244</v>
      </c>
      <c r="C15" t="s">
        <v>289</v>
      </c>
      <c r="D15" t="s">
        <v>291</v>
      </c>
    </row>
    <row r="16" spans="1:4" x14ac:dyDescent="0.25">
      <c r="A16" s="73">
        <v>46068</v>
      </c>
      <c r="B16" t="s">
        <v>244</v>
      </c>
      <c r="C16" t="s">
        <v>289</v>
      </c>
      <c r="D16" t="s">
        <v>291</v>
      </c>
    </row>
    <row r="17" spans="1:4" x14ac:dyDescent="0.25">
      <c r="A17" s="73">
        <v>46074</v>
      </c>
      <c r="B17" t="s">
        <v>227</v>
      </c>
      <c r="C17" t="s">
        <v>289</v>
      </c>
      <c r="D17" t="s">
        <v>291</v>
      </c>
    </row>
    <row r="18" spans="1:4" x14ac:dyDescent="0.25">
      <c r="A18" s="73">
        <v>46075</v>
      </c>
      <c r="B18" t="s">
        <v>227</v>
      </c>
      <c r="C18" t="s">
        <v>289</v>
      </c>
      <c r="D18" t="s">
        <v>291</v>
      </c>
    </row>
    <row r="19" spans="1:4" x14ac:dyDescent="0.25">
      <c r="A19" s="73">
        <v>46081</v>
      </c>
      <c r="B19" t="s">
        <v>244</v>
      </c>
      <c r="C19" t="s">
        <v>289</v>
      </c>
      <c r="D19" t="s">
        <v>291</v>
      </c>
    </row>
    <row r="20" spans="1:4" x14ac:dyDescent="0.25">
      <c r="A20" s="73">
        <v>46082</v>
      </c>
      <c r="B20" t="s">
        <v>244</v>
      </c>
      <c r="C20" t="s">
        <v>289</v>
      </c>
      <c r="D20" t="s">
        <v>291</v>
      </c>
    </row>
    <row r="21" spans="1:4" x14ac:dyDescent="0.25">
      <c r="A21" s="73">
        <v>46088</v>
      </c>
      <c r="B21" t="s">
        <v>227</v>
      </c>
      <c r="C21" t="s">
        <v>289</v>
      </c>
      <c r="D21" t="s">
        <v>291</v>
      </c>
    </row>
    <row r="22" spans="1:4" x14ac:dyDescent="0.25">
      <c r="A22" s="73">
        <v>46089</v>
      </c>
      <c r="B22" t="s">
        <v>227</v>
      </c>
      <c r="C22" t="s">
        <v>289</v>
      </c>
      <c r="D22" t="s">
        <v>291</v>
      </c>
    </row>
    <row r="23" spans="1:4" x14ac:dyDescent="0.25">
      <c r="A23" s="73">
        <v>46095</v>
      </c>
      <c r="B23" t="s">
        <v>244</v>
      </c>
      <c r="C23" t="s">
        <v>289</v>
      </c>
      <c r="D23" t="s">
        <v>291</v>
      </c>
    </row>
    <row r="24" spans="1:4" x14ac:dyDescent="0.25">
      <c r="A24" s="73">
        <v>46096</v>
      </c>
      <c r="B24" t="s">
        <v>244</v>
      </c>
      <c r="C24" t="s">
        <v>289</v>
      </c>
      <c r="D24" t="s">
        <v>291</v>
      </c>
    </row>
    <row r="25" spans="1:4" x14ac:dyDescent="0.25">
      <c r="A25" s="73">
        <v>46102</v>
      </c>
      <c r="B25" t="s">
        <v>227</v>
      </c>
      <c r="C25" t="s">
        <v>289</v>
      </c>
      <c r="D25" t="s">
        <v>291</v>
      </c>
    </row>
    <row r="26" spans="1:4" x14ac:dyDescent="0.25">
      <c r="A26" s="73">
        <v>46103</v>
      </c>
      <c r="B26" t="s">
        <v>227</v>
      </c>
      <c r="C26" t="s">
        <v>289</v>
      </c>
      <c r="D26" t="s">
        <v>291</v>
      </c>
    </row>
    <row r="27" spans="1:4" x14ac:dyDescent="0.25">
      <c r="A27" s="73">
        <v>46109</v>
      </c>
      <c r="B27" t="s">
        <v>244</v>
      </c>
      <c r="C27" t="s">
        <v>289</v>
      </c>
      <c r="D27" t="s">
        <v>291</v>
      </c>
    </row>
    <row r="28" spans="1:4" x14ac:dyDescent="0.25">
      <c r="A28" s="73">
        <v>46110</v>
      </c>
      <c r="B28" t="s">
        <v>244</v>
      </c>
      <c r="C28" t="s">
        <v>289</v>
      </c>
      <c r="D28" t="s">
        <v>291</v>
      </c>
    </row>
    <row r="29" spans="1:4" x14ac:dyDescent="0.25">
      <c r="A29" s="73">
        <v>46115</v>
      </c>
      <c r="B29" t="s">
        <v>244</v>
      </c>
      <c r="C29" t="s">
        <v>290</v>
      </c>
      <c r="D29" t="s">
        <v>288</v>
      </c>
    </row>
    <row r="30" spans="1:4" x14ac:dyDescent="0.25">
      <c r="A30" s="73">
        <v>46115</v>
      </c>
      <c r="B30" t="s">
        <v>244</v>
      </c>
      <c r="C30" t="s">
        <v>290</v>
      </c>
      <c r="D30" t="s">
        <v>288</v>
      </c>
    </row>
    <row r="31" spans="1:4" x14ac:dyDescent="0.25">
      <c r="A31" s="73">
        <v>46115</v>
      </c>
      <c r="B31" t="s">
        <v>244</v>
      </c>
      <c r="C31" t="s">
        <v>290</v>
      </c>
      <c r="D31" t="s">
        <v>288</v>
      </c>
    </row>
    <row r="32" spans="1:4" x14ac:dyDescent="0.25">
      <c r="A32" s="73">
        <v>46116</v>
      </c>
      <c r="B32" t="s">
        <v>244</v>
      </c>
      <c r="C32" t="s">
        <v>289</v>
      </c>
      <c r="D32" t="s">
        <v>288</v>
      </c>
    </row>
    <row r="33" spans="1:4" x14ac:dyDescent="0.25">
      <c r="A33" s="73">
        <v>46116</v>
      </c>
      <c r="B33" t="s">
        <v>244</v>
      </c>
      <c r="C33" t="s">
        <v>289</v>
      </c>
      <c r="D33" t="s">
        <v>288</v>
      </c>
    </row>
    <row r="34" spans="1:4" x14ac:dyDescent="0.25">
      <c r="A34" s="73">
        <v>46116</v>
      </c>
      <c r="B34" t="s">
        <v>244</v>
      </c>
      <c r="C34" t="s">
        <v>289</v>
      </c>
      <c r="D34" t="s">
        <v>288</v>
      </c>
    </row>
    <row r="35" spans="1:4" x14ac:dyDescent="0.25">
      <c r="A35" s="73">
        <v>46117</v>
      </c>
      <c r="B35" t="s">
        <v>244</v>
      </c>
      <c r="C35" t="s">
        <v>289</v>
      </c>
      <c r="D35" t="s">
        <v>291</v>
      </c>
    </row>
    <row r="36" spans="1:4" x14ac:dyDescent="0.25">
      <c r="A36" s="73">
        <v>46118</v>
      </c>
      <c r="B36" t="s">
        <v>244</v>
      </c>
      <c r="C36" t="s">
        <v>290</v>
      </c>
      <c r="D36" t="s">
        <v>291</v>
      </c>
    </row>
    <row r="37" spans="1:4" x14ac:dyDescent="0.25">
      <c r="A37" s="73">
        <v>46123</v>
      </c>
      <c r="B37" t="s">
        <v>244</v>
      </c>
      <c r="C37" t="s">
        <v>289</v>
      </c>
      <c r="D37" t="s">
        <v>291</v>
      </c>
    </row>
    <row r="38" spans="1:4" x14ac:dyDescent="0.25">
      <c r="A38" s="73">
        <v>46124</v>
      </c>
      <c r="B38" t="s">
        <v>244</v>
      </c>
      <c r="C38" t="s">
        <v>289</v>
      </c>
      <c r="D38" t="s">
        <v>291</v>
      </c>
    </row>
    <row r="39" spans="1:4" x14ac:dyDescent="0.25">
      <c r="A39" s="73">
        <v>46130</v>
      </c>
      <c r="B39" t="s">
        <v>227</v>
      </c>
      <c r="C39" t="s">
        <v>289</v>
      </c>
      <c r="D39" t="s">
        <v>291</v>
      </c>
    </row>
    <row r="40" spans="1:4" x14ac:dyDescent="0.25">
      <c r="A40" s="73">
        <v>46131</v>
      </c>
      <c r="B40" t="s">
        <v>227</v>
      </c>
      <c r="C40" t="s">
        <v>289</v>
      </c>
      <c r="D40" t="s">
        <v>291</v>
      </c>
    </row>
    <row r="41" spans="1:4" x14ac:dyDescent="0.25">
      <c r="A41" s="73">
        <v>46137</v>
      </c>
      <c r="B41" t="s">
        <v>244</v>
      </c>
      <c r="C41" t="s">
        <v>289</v>
      </c>
      <c r="D41" t="s">
        <v>291</v>
      </c>
    </row>
    <row r="42" spans="1:4" x14ac:dyDescent="0.25">
      <c r="A42" s="73">
        <v>46138</v>
      </c>
      <c r="B42" t="s">
        <v>244</v>
      </c>
      <c r="C42" t="s">
        <v>289</v>
      </c>
      <c r="D42" t="s">
        <v>291</v>
      </c>
    </row>
    <row r="43" spans="1:4" x14ac:dyDescent="0.25">
      <c r="A43" s="73">
        <v>46143</v>
      </c>
      <c r="B43" t="s">
        <v>227</v>
      </c>
      <c r="C43" t="s">
        <v>290</v>
      </c>
      <c r="D43" t="s">
        <v>291</v>
      </c>
    </row>
    <row r="44" spans="1:4" x14ac:dyDescent="0.25">
      <c r="A44" s="73">
        <v>46144</v>
      </c>
      <c r="B44" t="s">
        <v>227</v>
      </c>
      <c r="C44" t="s">
        <v>289</v>
      </c>
      <c r="D44" t="s">
        <v>291</v>
      </c>
    </row>
    <row r="45" spans="1:4" x14ac:dyDescent="0.25">
      <c r="A45" s="73">
        <v>46145</v>
      </c>
      <c r="B45" t="s">
        <v>227</v>
      </c>
      <c r="C45" t="s">
        <v>289</v>
      </c>
      <c r="D45" t="s">
        <v>291</v>
      </c>
    </row>
    <row r="46" spans="1:4" x14ac:dyDescent="0.25">
      <c r="A46" s="73">
        <v>46151</v>
      </c>
      <c r="B46" t="s">
        <v>244</v>
      </c>
      <c r="C46" t="s">
        <v>289</v>
      </c>
      <c r="D46" t="s">
        <v>291</v>
      </c>
    </row>
    <row r="47" spans="1:4" x14ac:dyDescent="0.25">
      <c r="A47" s="73">
        <v>46152</v>
      </c>
      <c r="B47" t="s">
        <v>244</v>
      </c>
      <c r="C47" t="s">
        <v>289</v>
      </c>
      <c r="D47" t="s">
        <v>291</v>
      </c>
    </row>
    <row r="48" spans="1:4" x14ac:dyDescent="0.25">
      <c r="A48" s="73">
        <v>46156</v>
      </c>
      <c r="B48" t="s">
        <v>227</v>
      </c>
      <c r="C48" t="s">
        <v>290</v>
      </c>
      <c r="D48" t="s">
        <v>291</v>
      </c>
    </row>
    <row r="49" spans="1:4" x14ac:dyDescent="0.25">
      <c r="A49" s="73">
        <v>46157</v>
      </c>
      <c r="B49" t="s">
        <v>227</v>
      </c>
      <c r="C49" t="s">
        <v>290</v>
      </c>
      <c r="D49" t="s">
        <v>291</v>
      </c>
    </row>
    <row r="50" spans="1:4" x14ac:dyDescent="0.25">
      <c r="A50" s="73">
        <v>46158</v>
      </c>
      <c r="B50" t="s">
        <v>244</v>
      </c>
      <c r="C50" t="s">
        <v>289</v>
      </c>
      <c r="D50" t="s">
        <v>288</v>
      </c>
    </row>
    <row r="51" spans="1:4" x14ac:dyDescent="0.25">
      <c r="A51" s="73">
        <v>46158</v>
      </c>
      <c r="B51" t="s">
        <v>244</v>
      </c>
      <c r="C51" t="s">
        <v>289</v>
      </c>
      <c r="D51" t="s">
        <v>288</v>
      </c>
    </row>
    <row r="52" spans="1:4" x14ac:dyDescent="0.25">
      <c r="A52" s="73">
        <v>46158</v>
      </c>
      <c r="B52" t="s">
        <v>244</v>
      </c>
      <c r="C52" t="s">
        <v>289</v>
      </c>
      <c r="D52" t="s">
        <v>288</v>
      </c>
    </row>
    <row r="53" spans="1:4" x14ac:dyDescent="0.25">
      <c r="A53" s="73">
        <v>46159</v>
      </c>
      <c r="B53" t="s">
        <v>244</v>
      </c>
      <c r="C53" t="s">
        <v>289</v>
      </c>
      <c r="D53" t="s">
        <v>288</v>
      </c>
    </row>
    <row r="54" spans="1:4" x14ac:dyDescent="0.25">
      <c r="A54" s="73">
        <v>46159</v>
      </c>
      <c r="B54" t="s">
        <v>244</v>
      </c>
      <c r="C54" t="s">
        <v>289</v>
      </c>
      <c r="D54" t="s">
        <v>288</v>
      </c>
    </row>
    <row r="55" spans="1:4" x14ac:dyDescent="0.25">
      <c r="A55" s="73">
        <v>46159</v>
      </c>
      <c r="B55" t="s">
        <v>244</v>
      </c>
      <c r="C55" t="s">
        <v>289</v>
      </c>
      <c r="D55" t="s">
        <v>288</v>
      </c>
    </row>
    <row r="56" spans="1:4" x14ac:dyDescent="0.25">
      <c r="A56" s="73">
        <v>46165</v>
      </c>
      <c r="B56" t="s">
        <v>227</v>
      </c>
      <c r="C56" t="s">
        <v>289</v>
      </c>
      <c r="D56" t="s">
        <v>288</v>
      </c>
    </row>
    <row r="57" spans="1:4" x14ac:dyDescent="0.25">
      <c r="A57" s="73">
        <v>46165</v>
      </c>
      <c r="B57" t="s">
        <v>227</v>
      </c>
      <c r="C57" t="s">
        <v>289</v>
      </c>
      <c r="D57" t="s">
        <v>288</v>
      </c>
    </row>
    <row r="58" spans="1:4" x14ac:dyDescent="0.25">
      <c r="A58" s="73">
        <v>46165</v>
      </c>
      <c r="B58" t="s">
        <v>227</v>
      </c>
      <c r="C58" t="s">
        <v>289</v>
      </c>
      <c r="D58" t="s">
        <v>288</v>
      </c>
    </row>
    <row r="59" spans="1:4" x14ac:dyDescent="0.25">
      <c r="A59" s="73">
        <v>46166</v>
      </c>
      <c r="B59" t="s">
        <v>227</v>
      </c>
      <c r="C59" t="s">
        <v>289</v>
      </c>
      <c r="D59" t="s">
        <v>288</v>
      </c>
    </row>
    <row r="60" spans="1:4" x14ac:dyDescent="0.25">
      <c r="A60" s="73">
        <v>46166</v>
      </c>
      <c r="B60" t="s">
        <v>227</v>
      </c>
      <c r="C60" t="s">
        <v>289</v>
      </c>
      <c r="D60" t="s">
        <v>288</v>
      </c>
    </row>
    <row r="61" spans="1:4" x14ac:dyDescent="0.25">
      <c r="A61" s="73">
        <v>46166</v>
      </c>
      <c r="B61" t="s">
        <v>227</v>
      </c>
      <c r="C61" t="s">
        <v>289</v>
      </c>
      <c r="D61" t="s">
        <v>288</v>
      </c>
    </row>
    <row r="62" spans="1:4" x14ac:dyDescent="0.25">
      <c r="A62" s="73">
        <v>46167</v>
      </c>
      <c r="B62" t="s">
        <v>227</v>
      </c>
      <c r="C62" t="s">
        <v>290</v>
      </c>
      <c r="D62" t="s">
        <v>288</v>
      </c>
    </row>
    <row r="63" spans="1:4" x14ac:dyDescent="0.25">
      <c r="A63" s="73">
        <v>46167</v>
      </c>
      <c r="B63" t="s">
        <v>227</v>
      </c>
      <c r="C63" t="s">
        <v>290</v>
      </c>
      <c r="D63" t="s">
        <v>288</v>
      </c>
    </row>
    <row r="64" spans="1:4" x14ac:dyDescent="0.25">
      <c r="A64" s="73">
        <v>46167</v>
      </c>
      <c r="B64" t="s">
        <v>227</v>
      </c>
      <c r="C64" t="s">
        <v>290</v>
      </c>
      <c r="D64" t="s">
        <v>288</v>
      </c>
    </row>
    <row r="65" spans="1:4" x14ac:dyDescent="0.25">
      <c r="A65" s="73">
        <v>46172</v>
      </c>
      <c r="B65" t="s">
        <v>244</v>
      </c>
      <c r="C65" t="s">
        <v>289</v>
      </c>
      <c r="D65" t="s">
        <v>288</v>
      </c>
    </row>
    <row r="66" spans="1:4" x14ac:dyDescent="0.25">
      <c r="A66" s="73">
        <v>46172</v>
      </c>
      <c r="B66" t="s">
        <v>244</v>
      </c>
      <c r="C66" t="s">
        <v>289</v>
      </c>
      <c r="D66" t="s">
        <v>288</v>
      </c>
    </row>
    <row r="67" spans="1:4" x14ac:dyDescent="0.25">
      <c r="A67" s="73">
        <v>46172</v>
      </c>
      <c r="B67" t="s">
        <v>244</v>
      </c>
      <c r="C67" t="s">
        <v>289</v>
      </c>
      <c r="D67" t="s">
        <v>288</v>
      </c>
    </row>
    <row r="68" spans="1:4" x14ac:dyDescent="0.25">
      <c r="A68" s="73">
        <v>46173</v>
      </c>
      <c r="B68" t="s">
        <v>244</v>
      </c>
      <c r="C68" t="s">
        <v>289</v>
      </c>
      <c r="D68" t="s">
        <v>288</v>
      </c>
    </row>
    <row r="69" spans="1:4" x14ac:dyDescent="0.25">
      <c r="A69" s="73">
        <v>46173</v>
      </c>
      <c r="B69" t="s">
        <v>244</v>
      </c>
      <c r="C69" t="s">
        <v>289</v>
      </c>
      <c r="D69" t="s">
        <v>288</v>
      </c>
    </row>
    <row r="70" spans="1:4" x14ac:dyDescent="0.25">
      <c r="A70" s="73">
        <v>46173</v>
      </c>
      <c r="B70" t="s">
        <v>244</v>
      </c>
      <c r="C70" t="s">
        <v>289</v>
      </c>
      <c r="D70" t="s">
        <v>288</v>
      </c>
    </row>
    <row r="71" spans="1:4" x14ac:dyDescent="0.25">
      <c r="A71" s="73">
        <v>46179</v>
      </c>
      <c r="B71" t="s">
        <v>227</v>
      </c>
      <c r="C71" t="s">
        <v>289</v>
      </c>
      <c r="D71" t="s">
        <v>291</v>
      </c>
    </row>
    <row r="72" spans="1:4" x14ac:dyDescent="0.25">
      <c r="A72" s="73">
        <v>46180</v>
      </c>
      <c r="B72" t="s">
        <v>227</v>
      </c>
      <c r="C72" t="s">
        <v>289</v>
      </c>
      <c r="D72" t="s">
        <v>291</v>
      </c>
    </row>
    <row r="73" spans="1:4" x14ac:dyDescent="0.25">
      <c r="A73" s="73">
        <v>46186</v>
      </c>
      <c r="B73" t="s">
        <v>244</v>
      </c>
      <c r="C73" t="s">
        <v>289</v>
      </c>
      <c r="D73" t="s">
        <v>291</v>
      </c>
    </row>
    <row r="74" spans="1:4" x14ac:dyDescent="0.25">
      <c r="A74" s="73">
        <v>46187</v>
      </c>
      <c r="B74" t="s">
        <v>244</v>
      </c>
      <c r="C74" t="s">
        <v>289</v>
      </c>
      <c r="D74" t="s">
        <v>291</v>
      </c>
    </row>
    <row r="75" spans="1:4" x14ac:dyDescent="0.25">
      <c r="A75" s="73">
        <v>46193</v>
      </c>
      <c r="B75" t="s">
        <v>227</v>
      </c>
      <c r="C75" t="s">
        <v>289</v>
      </c>
      <c r="D75" t="s">
        <v>291</v>
      </c>
    </row>
    <row r="76" spans="1:4" x14ac:dyDescent="0.25">
      <c r="A76" s="73">
        <v>46194</v>
      </c>
      <c r="B76" t="s">
        <v>227</v>
      </c>
      <c r="C76" t="s">
        <v>289</v>
      </c>
      <c r="D76" t="s">
        <v>291</v>
      </c>
    </row>
    <row r="77" spans="1:4" x14ac:dyDescent="0.25">
      <c r="A77" s="73">
        <v>46199</v>
      </c>
      <c r="B77" t="s">
        <v>244</v>
      </c>
      <c r="C77" t="s">
        <v>290</v>
      </c>
      <c r="D77" t="s">
        <v>288</v>
      </c>
    </row>
    <row r="78" spans="1:4" x14ac:dyDescent="0.25">
      <c r="A78" s="73">
        <v>46200</v>
      </c>
      <c r="B78" t="s">
        <v>244</v>
      </c>
      <c r="C78" t="s">
        <v>289</v>
      </c>
      <c r="D78" t="s">
        <v>291</v>
      </c>
    </row>
    <row r="79" spans="1:4" x14ac:dyDescent="0.25">
      <c r="A79" s="73">
        <v>46201</v>
      </c>
      <c r="B79" t="s">
        <v>244</v>
      </c>
      <c r="C79" t="s">
        <v>289</v>
      </c>
      <c r="D79" t="s">
        <v>291</v>
      </c>
    </row>
    <row r="80" spans="1:4" x14ac:dyDescent="0.25">
      <c r="A80" s="73">
        <v>46207</v>
      </c>
      <c r="B80" t="s">
        <v>227</v>
      </c>
      <c r="C80" t="s">
        <v>289</v>
      </c>
      <c r="D80" t="s">
        <v>291</v>
      </c>
    </row>
    <row r="81" spans="1:4" x14ac:dyDescent="0.25">
      <c r="A81" s="73">
        <v>46208</v>
      </c>
      <c r="B81" t="s">
        <v>227</v>
      </c>
      <c r="C81" t="s">
        <v>289</v>
      </c>
      <c r="D81" t="s">
        <v>291</v>
      </c>
    </row>
    <row r="82" spans="1:4" x14ac:dyDescent="0.25">
      <c r="A82" s="73">
        <v>46214</v>
      </c>
      <c r="B82" t="s">
        <v>244</v>
      </c>
      <c r="C82" t="s">
        <v>289</v>
      </c>
      <c r="D82" t="s">
        <v>291</v>
      </c>
    </row>
    <row r="83" spans="1:4" x14ac:dyDescent="0.25">
      <c r="A83" s="73">
        <v>46215</v>
      </c>
      <c r="B83" t="s">
        <v>244</v>
      </c>
      <c r="C83" t="s">
        <v>289</v>
      </c>
      <c r="D83" t="s">
        <v>291</v>
      </c>
    </row>
    <row r="84" spans="1:4" x14ac:dyDescent="0.25">
      <c r="A84" s="73">
        <v>46221</v>
      </c>
      <c r="B84" t="s">
        <v>227</v>
      </c>
      <c r="C84" t="s">
        <v>289</v>
      </c>
      <c r="D84" t="s">
        <v>291</v>
      </c>
    </row>
    <row r="85" spans="1:4" x14ac:dyDescent="0.25">
      <c r="A85" s="73">
        <v>46222</v>
      </c>
      <c r="B85" t="s">
        <v>227</v>
      </c>
      <c r="C85" t="s">
        <v>289</v>
      </c>
      <c r="D85" t="s">
        <v>291</v>
      </c>
    </row>
    <row r="86" spans="1:4" x14ac:dyDescent="0.25">
      <c r="A86" s="73">
        <v>46228</v>
      </c>
      <c r="B86" t="s">
        <v>244</v>
      </c>
      <c r="C86" t="s">
        <v>289</v>
      </c>
      <c r="D86" t="s">
        <v>291</v>
      </c>
    </row>
    <row r="87" spans="1:4" x14ac:dyDescent="0.25">
      <c r="A87" s="73">
        <v>46229</v>
      </c>
      <c r="B87" t="s">
        <v>244</v>
      </c>
      <c r="C87" t="s">
        <v>289</v>
      </c>
      <c r="D87" t="s">
        <v>291</v>
      </c>
    </row>
    <row r="88" spans="1:4" x14ac:dyDescent="0.25">
      <c r="A88" s="73">
        <v>46235</v>
      </c>
      <c r="B88" t="s">
        <v>227</v>
      </c>
      <c r="C88" t="s">
        <v>289</v>
      </c>
      <c r="D88" t="s">
        <v>291</v>
      </c>
    </row>
    <row r="89" spans="1:4" x14ac:dyDescent="0.25">
      <c r="A89" s="73">
        <v>46236</v>
      </c>
      <c r="B89" t="s">
        <v>227</v>
      </c>
      <c r="C89" t="s">
        <v>289</v>
      </c>
      <c r="D89" t="s">
        <v>291</v>
      </c>
    </row>
    <row r="90" spans="1:4" x14ac:dyDescent="0.25">
      <c r="A90" s="73">
        <v>46242</v>
      </c>
      <c r="B90" t="s">
        <v>244</v>
      </c>
      <c r="C90" t="s">
        <v>289</v>
      </c>
      <c r="D90" t="s">
        <v>291</v>
      </c>
    </row>
    <row r="91" spans="1:4" x14ac:dyDescent="0.25">
      <c r="A91" s="73">
        <v>46243</v>
      </c>
      <c r="B91" t="s">
        <v>244</v>
      </c>
      <c r="C91" t="s">
        <v>289</v>
      </c>
      <c r="D91" t="s">
        <v>291</v>
      </c>
    </row>
    <row r="92" spans="1:4" x14ac:dyDescent="0.25">
      <c r="A92" s="73">
        <v>46249</v>
      </c>
      <c r="B92" t="s">
        <v>227</v>
      </c>
      <c r="C92" t="s">
        <v>289</v>
      </c>
      <c r="D92" t="s">
        <v>291</v>
      </c>
    </row>
    <row r="93" spans="1:4" x14ac:dyDescent="0.25">
      <c r="A93" s="73">
        <v>46250</v>
      </c>
      <c r="B93" t="s">
        <v>227</v>
      </c>
      <c r="C93" t="s">
        <v>289</v>
      </c>
      <c r="D93" t="s">
        <v>291</v>
      </c>
    </row>
    <row r="94" spans="1:4" x14ac:dyDescent="0.25">
      <c r="A94" s="73">
        <v>46256</v>
      </c>
      <c r="B94" t="s">
        <v>244</v>
      </c>
      <c r="C94" t="s">
        <v>289</v>
      </c>
      <c r="D94" t="s">
        <v>291</v>
      </c>
    </row>
    <row r="95" spans="1:4" x14ac:dyDescent="0.25">
      <c r="A95" s="73">
        <v>46257</v>
      </c>
      <c r="B95" t="s">
        <v>244</v>
      </c>
      <c r="C95" t="s">
        <v>289</v>
      </c>
      <c r="D95" t="s">
        <v>291</v>
      </c>
    </row>
    <row r="96" spans="1:4" x14ac:dyDescent="0.25">
      <c r="A96" s="73">
        <v>46263</v>
      </c>
      <c r="B96" t="s">
        <v>227</v>
      </c>
      <c r="C96" t="s">
        <v>289</v>
      </c>
      <c r="D96" t="s">
        <v>291</v>
      </c>
    </row>
    <row r="97" spans="1:4" x14ac:dyDescent="0.25">
      <c r="A97" s="73">
        <v>46264</v>
      </c>
      <c r="B97" t="s">
        <v>227</v>
      </c>
      <c r="C97" t="s">
        <v>289</v>
      </c>
      <c r="D97" t="s">
        <v>291</v>
      </c>
    </row>
    <row r="98" spans="1:4" x14ac:dyDescent="0.25">
      <c r="A98" s="73">
        <v>46270</v>
      </c>
      <c r="B98" t="s">
        <v>244</v>
      </c>
      <c r="C98" t="s">
        <v>289</v>
      </c>
      <c r="D98" t="s">
        <v>291</v>
      </c>
    </row>
    <row r="99" spans="1:4" x14ac:dyDescent="0.25">
      <c r="A99" s="73">
        <v>46271</v>
      </c>
      <c r="B99" t="s">
        <v>244</v>
      </c>
      <c r="C99" t="s">
        <v>289</v>
      </c>
      <c r="D99" t="s">
        <v>291</v>
      </c>
    </row>
    <row r="100" spans="1:4" x14ac:dyDescent="0.25">
      <c r="A100" s="73">
        <v>46277</v>
      </c>
      <c r="B100" t="s">
        <v>227</v>
      </c>
      <c r="C100" t="s">
        <v>289</v>
      </c>
      <c r="D100" t="s">
        <v>291</v>
      </c>
    </row>
    <row r="101" spans="1:4" x14ac:dyDescent="0.25">
      <c r="A101" s="73">
        <v>46278</v>
      </c>
      <c r="B101" t="s">
        <v>227</v>
      </c>
      <c r="C101" t="s">
        <v>289</v>
      </c>
      <c r="D101" t="s">
        <v>291</v>
      </c>
    </row>
    <row r="102" spans="1:4" x14ac:dyDescent="0.25">
      <c r="A102" s="73">
        <v>46284</v>
      </c>
      <c r="B102" t="s">
        <v>244</v>
      </c>
      <c r="C102" t="s">
        <v>289</v>
      </c>
      <c r="D102" t="s">
        <v>291</v>
      </c>
    </row>
    <row r="103" spans="1:4" x14ac:dyDescent="0.25">
      <c r="A103" s="73">
        <v>46285</v>
      </c>
      <c r="B103" t="s">
        <v>244</v>
      </c>
      <c r="C103" t="s">
        <v>289</v>
      </c>
      <c r="D103" t="s">
        <v>291</v>
      </c>
    </row>
    <row r="104" spans="1:4" x14ac:dyDescent="0.25">
      <c r="A104" s="73">
        <v>46286</v>
      </c>
      <c r="B104" t="s">
        <v>244</v>
      </c>
      <c r="C104" t="s">
        <v>290</v>
      </c>
      <c r="D104" t="s">
        <v>291</v>
      </c>
    </row>
    <row r="105" spans="1:4" x14ac:dyDescent="0.25">
      <c r="A105" s="73">
        <v>46291</v>
      </c>
      <c r="B105" t="s">
        <v>227</v>
      </c>
      <c r="C105" t="s">
        <v>289</v>
      </c>
      <c r="D105" t="s">
        <v>291</v>
      </c>
    </row>
    <row r="106" spans="1:4" x14ac:dyDescent="0.25">
      <c r="A106" s="73">
        <v>46292</v>
      </c>
      <c r="B106" t="s">
        <v>227</v>
      </c>
      <c r="C106" t="s">
        <v>289</v>
      </c>
      <c r="D106" t="s">
        <v>291</v>
      </c>
    </row>
    <row r="107" spans="1:4" x14ac:dyDescent="0.25">
      <c r="A107" s="73">
        <v>46298</v>
      </c>
      <c r="B107" t="s">
        <v>244</v>
      </c>
      <c r="C107" t="s">
        <v>289</v>
      </c>
      <c r="D107" t="s">
        <v>291</v>
      </c>
    </row>
    <row r="108" spans="1:4" x14ac:dyDescent="0.25">
      <c r="A108" s="73">
        <v>46299</v>
      </c>
      <c r="B108" t="s">
        <v>244</v>
      </c>
      <c r="C108" t="s">
        <v>289</v>
      </c>
      <c r="D108" t="s">
        <v>291</v>
      </c>
    </row>
    <row r="109" spans="1:4" x14ac:dyDescent="0.25">
      <c r="A109" s="73">
        <v>46305</v>
      </c>
      <c r="B109" t="s">
        <v>227</v>
      </c>
      <c r="C109" t="s">
        <v>289</v>
      </c>
      <c r="D109" t="s">
        <v>291</v>
      </c>
    </row>
    <row r="110" spans="1:4" x14ac:dyDescent="0.25">
      <c r="A110" s="73">
        <v>46306</v>
      </c>
      <c r="B110" t="s">
        <v>227</v>
      </c>
      <c r="C110" t="s">
        <v>289</v>
      </c>
      <c r="D110" t="s">
        <v>291</v>
      </c>
    </row>
    <row r="111" spans="1:4" x14ac:dyDescent="0.25">
      <c r="A111" s="73">
        <v>46312</v>
      </c>
      <c r="B111" t="s">
        <v>244</v>
      </c>
      <c r="C111" t="s">
        <v>289</v>
      </c>
      <c r="D111" t="s">
        <v>291</v>
      </c>
    </row>
    <row r="112" spans="1:4" x14ac:dyDescent="0.25">
      <c r="A112" s="73">
        <v>46313</v>
      </c>
      <c r="B112" t="s">
        <v>244</v>
      </c>
      <c r="C112" t="s">
        <v>289</v>
      </c>
      <c r="D112" t="s">
        <v>291</v>
      </c>
    </row>
    <row r="113" spans="1:4" x14ac:dyDescent="0.25">
      <c r="A113" s="73">
        <v>46319</v>
      </c>
      <c r="B113" t="s">
        <v>227</v>
      </c>
      <c r="C113" t="s">
        <v>289</v>
      </c>
      <c r="D113" t="s">
        <v>291</v>
      </c>
    </row>
    <row r="114" spans="1:4" x14ac:dyDescent="0.25">
      <c r="A114" s="73">
        <v>46320</v>
      </c>
      <c r="B114" t="s">
        <v>227</v>
      </c>
      <c r="C114" t="s">
        <v>289</v>
      </c>
      <c r="D114" t="s">
        <v>291</v>
      </c>
    </row>
    <row r="115" spans="1:4" x14ac:dyDescent="0.25">
      <c r="A115" s="73">
        <v>46326</v>
      </c>
      <c r="B115" t="s">
        <v>244</v>
      </c>
      <c r="C115" t="s">
        <v>289</v>
      </c>
      <c r="D115" t="s">
        <v>291</v>
      </c>
    </row>
    <row r="116" spans="1:4" x14ac:dyDescent="0.25">
      <c r="A116" s="73">
        <v>46327</v>
      </c>
      <c r="B116" t="s">
        <v>244</v>
      </c>
      <c r="C116" t="s">
        <v>289</v>
      </c>
      <c r="D116" t="s">
        <v>291</v>
      </c>
    </row>
    <row r="117" spans="1:4" x14ac:dyDescent="0.25">
      <c r="A117" s="73">
        <v>46333</v>
      </c>
      <c r="B117" t="s">
        <v>227</v>
      </c>
      <c r="C117" t="s">
        <v>289</v>
      </c>
      <c r="D117" t="s">
        <v>291</v>
      </c>
    </row>
    <row r="118" spans="1:4" x14ac:dyDescent="0.25">
      <c r="A118" s="73">
        <v>46334</v>
      </c>
      <c r="B118" t="s">
        <v>227</v>
      </c>
      <c r="C118" t="s">
        <v>289</v>
      </c>
      <c r="D118" t="s">
        <v>291</v>
      </c>
    </row>
    <row r="119" spans="1:4" x14ac:dyDescent="0.25">
      <c r="A119" s="73">
        <v>46340</v>
      </c>
      <c r="B119" t="s">
        <v>244</v>
      </c>
      <c r="C119" t="s">
        <v>289</v>
      </c>
      <c r="D119" t="s">
        <v>291</v>
      </c>
    </row>
    <row r="120" spans="1:4" x14ac:dyDescent="0.25">
      <c r="A120" s="73">
        <v>46341</v>
      </c>
      <c r="B120" t="s">
        <v>244</v>
      </c>
      <c r="C120" t="s">
        <v>289</v>
      </c>
      <c r="D120" t="s">
        <v>291</v>
      </c>
    </row>
    <row r="121" spans="1:4" x14ac:dyDescent="0.25">
      <c r="A121" s="73">
        <v>46347</v>
      </c>
      <c r="B121" t="s">
        <v>227</v>
      </c>
      <c r="C121" t="s">
        <v>289</v>
      </c>
      <c r="D121" t="s">
        <v>291</v>
      </c>
    </row>
    <row r="122" spans="1:4" x14ac:dyDescent="0.25">
      <c r="A122" s="73">
        <v>46348</v>
      </c>
      <c r="B122" t="s">
        <v>227</v>
      </c>
      <c r="C122" t="s">
        <v>289</v>
      </c>
      <c r="D122" t="s">
        <v>291</v>
      </c>
    </row>
    <row r="123" spans="1:4" x14ac:dyDescent="0.25">
      <c r="A123" s="73">
        <v>46354</v>
      </c>
      <c r="B123" t="s">
        <v>244</v>
      </c>
      <c r="C123" t="s">
        <v>289</v>
      </c>
      <c r="D123" t="s">
        <v>291</v>
      </c>
    </row>
    <row r="124" spans="1:4" x14ac:dyDescent="0.25">
      <c r="A124" s="73">
        <v>46355</v>
      </c>
      <c r="B124" t="s">
        <v>244</v>
      </c>
      <c r="C124" t="s">
        <v>289</v>
      </c>
      <c r="D124" t="s">
        <v>291</v>
      </c>
    </row>
    <row r="125" spans="1:4" x14ac:dyDescent="0.25">
      <c r="A125" s="73">
        <v>46361</v>
      </c>
      <c r="B125" t="s">
        <v>227</v>
      </c>
      <c r="C125" t="s">
        <v>289</v>
      </c>
      <c r="D125" t="s">
        <v>291</v>
      </c>
    </row>
    <row r="126" spans="1:4" x14ac:dyDescent="0.25">
      <c r="A126" s="73">
        <v>46362</v>
      </c>
      <c r="B126" t="s">
        <v>227</v>
      </c>
      <c r="C126" t="s">
        <v>289</v>
      </c>
      <c r="D126" t="s">
        <v>291</v>
      </c>
    </row>
    <row r="127" spans="1:4" x14ac:dyDescent="0.25">
      <c r="A127" s="73">
        <v>46368</v>
      </c>
      <c r="B127" t="s">
        <v>244</v>
      </c>
      <c r="C127" t="s">
        <v>289</v>
      </c>
      <c r="D127" t="s">
        <v>291</v>
      </c>
    </row>
    <row r="128" spans="1:4" x14ac:dyDescent="0.25">
      <c r="A128" s="73">
        <v>46369</v>
      </c>
      <c r="B128" t="s">
        <v>244</v>
      </c>
      <c r="C128" t="s">
        <v>289</v>
      </c>
      <c r="D128" t="s">
        <v>291</v>
      </c>
    </row>
    <row r="129" spans="1:4" x14ac:dyDescent="0.25">
      <c r="A129" s="73">
        <v>46375</v>
      </c>
      <c r="B129" t="s">
        <v>227</v>
      </c>
      <c r="C129" t="s">
        <v>289</v>
      </c>
      <c r="D129" t="s">
        <v>291</v>
      </c>
    </row>
    <row r="130" spans="1:4" x14ac:dyDescent="0.25">
      <c r="A130" s="73">
        <v>46376</v>
      </c>
      <c r="B130" t="s">
        <v>227</v>
      </c>
      <c r="C130" t="s">
        <v>289</v>
      </c>
      <c r="D130" t="s">
        <v>291</v>
      </c>
    </row>
    <row r="131" spans="1:4" x14ac:dyDescent="0.25">
      <c r="A131" s="73">
        <v>46379</v>
      </c>
      <c r="B131" t="s">
        <v>244</v>
      </c>
      <c r="C131" t="s">
        <v>290</v>
      </c>
      <c r="D131" t="s">
        <v>291</v>
      </c>
    </row>
    <row r="132" spans="1:4" x14ac:dyDescent="0.25">
      <c r="A132" s="73">
        <v>46380</v>
      </c>
      <c r="B132" t="s">
        <v>244</v>
      </c>
      <c r="C132" t="s">
        <v>290</v>
      </c>
      <c r="D132" t="s">
        <v>291</v>
      </c>
    </row>
    <row r="133" spans="1:4" x14ac:dyDescent="0.25">
      <c r="A133" s="73">
        <v>46381</v>
      </c>
      <c r="B133" t="s">
        <v>244</v>
      </c>
      <c r="C133" t="s">
        <v>290</v>
      </c>
      <c r="D133" t="s">
        <v>291</v>
      </c>
    </row>
    <row r="134" spans="1:4" x14ac:dyDescent="0.25">
      <c r="A134" s="73">
        <v>46382</v>
      </c>
      <c r="B134" t="s">
        <v>244</v>
      </c>
      <c r="C134" t="s">
        <v>289</v>
      </c>
      <c r="D134" t="s">
        <v>291</v>
      </c>
    </row>
    <row r="135" spans="1:4" x14ac:dyDescent="0.25">
      <c r="A135" s="73">
        <v>46383</v>
      </c>
      <c r="B135" t="s">
        <v>244</v>
      </c>
      <c r="C135" t="s">
        <v>289</v>
      </c>
      <c r="D135" t="s">
        <v>291</v>
      </c>
    </row>
    <row r="136" spans="1:4" x14ac:dyDescent="0.25">
      <c r="A136" s="73">
        <v>46384</v>
      </c>
      <c r="B136" t="s">
        <v>244</v>
      </c>
      <c r="C136" t="s">
        <v>290</v>
      </c>
      <c r="D136" t="s">
        <v>291</v>
      </c>
    </row>
    <row r="137" spans="1:4" x14ac:dyDescent="0.25">
      <c r="A137" s="73">
        <v>46385</v>
      </c>
      <c r="B137" t="s">
        <v>227</v>
      </c>
      <c r="C137" t="s">
        <v>290</v>
      </c>
      <c r="D137" t="s">
        <v>291</v>
      </c>
    </row>
    <row r="138" spans="1:4" x14ac:dyDescent="0.25">
      <c r="A138" s="73">
        <v>46386</v>
      </c>
      <c r="B138" t="s">
        <v>227</v>
      </c>
      <c r="C138" t="s">
        <v>290</v>
      </c>
      <c r="D138" t="s">
        <v>291</v>
      </c>
    </row>
    <row r="139" spans="1:4" x14ac:dyDescent="0.25">
      <c r="A139" s="73">
        <v>46387</v>
      </c>
      <c r="B139" t="s">
        <v>227</v>
      </c>
      <c r="C139" t="s">
        <v>290</v>
      </c>
      <c r="D139" t="s">
        <v>291</v>
      </c>
    </row>
    <row r="140" spans="1:4" x14ac:dyDescent="0.25">
      <c r="A140" s="73"/>
    </row>
    <row r="141" spans="1:4" x14ac:dyDescent="0.25">
      <c r="A141" s="73"/>
    </row>
    <row r="142" spans="1:4" x14ac:dyDescent="0.25">
      <c r="A142" s="73"/>
    </row>
    <row r="143" spans="1:4" x14ac:dyDescent="0.25">
      <c r="A143" s="73"/>
    </row>
    <row r="144" spans="1:4" x14ac:dyDescent="0.25">
      <c r="A144" s="73"/>
    </row>
    <row r="145" spans="1:1" x14ac:dyDescent="0.25">
      <c r="A145" s="73"/>
    </row>
    <row r="146" spans="1:1" x14ac:dyDescent="0.25">
      <c r="A146" s="73"/>
    </row>
    <row r="147" spans="1:1" x14ac:dyDescent="0.25">
      <c r="A147" s="73"/>
    </row>
    <row r="148" spans="1:1" x14ac:dyDescent="0.25">
      <c r="A148" s="73"/>
    </row>
    <row r="149" spans="1:1" x14ac:dyDescent="0.25">
      <c r="A149" s="73"/>
    </row>
    <row r="150" spans="1:1" x14ac:dyDescent="0.25">
      <c r="A150" s="73"/>
    </row>
    <row r="151" spans="1:1" x14ac:dyDescent="0.25">
      <c r="A151" s="73"/>
    </row>
    <row r="152" spans="1:1" x14ac:dyDescent="0.25">
      <c r="A152" s="73"/>
    </row>
    <row r="153" spans="1:1" x14ac:dyDescent="0.25">
      <c r="A153" s="73"/>
    </row>
    <row r="154" spans="1:1" x14ac:dyDescent="0.25">
      <c r="A154" s="73"/>
    </row>
    <row r="155" spans="1:1" x14ac:dyDescent="0.25">
      <c r="A155" s="73"/>
    </row>
    <row r="156" spans="1:1" x14ac:dyDescent="0.25">
      <c r="A156" s="73"/>
    </row>
    <row r="157" spans="1:1" x14ac:dyDescent="0.25">
      <c r="A157" s="73"/>
    </row>
    <row r="158" spans="1:1" x14ac:dyDescent="0.25">
      <c r="A158" s="73"/>
    </row>
    <row r="159" spans="1:1" x14ac:dyDescent="0.25">
      <c r="A159" s="73"/>
    </row>
    <row r="160" spans="1:1" x14ac:dyDescent="0.25">
      <c r="A160" s="73"/>
    </row>
    <row r="161" spans="1:1" x14ac:dyDescent="0.25">
      <c r="A161" s="73"/>
    </row>
    <row r="162" spans="1:1" x14ac:dyDescent="0.25">
      <c r="A162" s="73"/>
    </row>
    <row r="163" spans="1:1" x14ac:dyDescent="0.25">
      <c r="A163" s="73"/>
    </row>
    <row r="164" spans="1:1" x14ac:dyDescent="0.25">
      <c r="A164" s="73"/>
    </row>
    <row r="165" spans="1:1" x14ac:dyDescent="0.25">
      <c r="A165" s="73"/>
    </row>
    <row r="166" spans="1:1" x14ac:dyDescent="0.25">
      <c r="A166" s="73"/>
    </row>
    <row r="167" spans="1:1" x14ac:dyDescent="0.25">
      <c r="A167" s="73"/>
    </row>
    <row r="168" spans="1:1" x14ac:dyDescent="0.25">
      <c r="A168" s="73"/>
    </row>
    <row r="169" spans="1:1" x14ac:dyDescent="0.25">
      <c r="A169" s="73"/>
    </row>
    <row r="170" spans="1:1" x14ac:dyDescent="0.25">
      <c r="A170" s="73"/>
    </row>
    <row r="171" spans="1:1" x14ac:dyDescent="0.25">
      <c r="A171" s="73"/>
    </row>
    <row r="172" spans="1:1" x14ac:dyDescent="0.25">
      <c r="A172" s="73"/>
    </row>
    <row r="173" spans="1:1" x14ac:dyDescent="0.25">
      <c r="A173" s="73"/>
    </row>
    <row r="174" spans="1:1" x14ac:dyDescent="0.25">
      <c r="A174" s="73"/>
    </row>
    <row r="175" spans="1:1" x14ac:dyDescent="0.25">
      <c r="A175" s="73"/>
    </row>
    <row r="176" spans="1:1" x14ac:dyDescent="0.25">
      <c r="A176" s="73"/>
    </row>
    <row r="177" spans="1:1" x14ac:dyDescent="0.25">
      <c r="A177" s="73"/>
    </row>
    <row r="178" spans="1:1" x14ac:dyDescent="0.25">
      <c r="A178" s="73"/>
    </row>
    <row r="179" spans="1:1" x14ac:dyDescent="0.25">
      <c r="A179" s="73"/>
    </row>
    <row r="180" spans="1:1" x14ac:dyDescent="0.25">
      <c r="A180" s="73"/>
    </row>
    <row r="181" spans="1:1" x14ac:dyDescent="0.25">
      <c r="A181" s="73"/>
    </row>
    <row r="182" spans="1:1" x14ac:dyDescent="0.25">
      <c r="A182" s="73"/>
    </row>
    <row r="183" spans="1:1" x14ac:dyDescent="0.25">
      <c r="A183" s="73"/>
    </row>
    <row r="184" spans="1:1" x14ac:dyDescent="0.25">
      <c r="A184" s="73"/>
    </row>
    <row r="185" spans="1:1" x14ac:dyDescent="0.25">
      <c r="A185" s="73"/>
    </row>
    <row r="186" spans="1:1" x14ac:dyDescent="0.25">
      <c r="A186" s="73"/>
    </row>
    <row r="187" spans="1:1" x14ac:dyDescent="0.25">
      <c r="A187" s="73"/>
    </row>
    <row r="188" spans="1:1" x14ac:dyDescent="0.25">
      <c r="A188" s="73"/>
    </row>
    <row r="189" spans="1:1" x14ac:dyDescent="0.25">
      <c r="A189" s="73"/>
    </row>
    <row r="190" spans="1:1" x14ac:dyDescent="0.25">
      <c r="A190" s="73"/>
    </row>
    <row r="191" spans="1:1" x14ac:dyDescent="0.25">
      <c r="A191" s="73"/>
    </row>
    <row r="192" spans="1:1" x14ac:dyDescent="0.25">
      <c r="A192" s="73"/>
    </row>
    <row r="193" spans="1:1" x14ac:dyDescent="0.25">
      <c r="A193" s="73"/>
    </row>
    <row r="194" spans="1:1" x14ac:dyDescent="0.25">
      <c r="A194" s="73"/>
    </row>
    <row r="195" spans="1:1" x14ac:dyDescent="0.25">
      <c r="A195" s="73"/>
    </row>
    <row r="196" spans="1:1" x14ac:dyDescent="0.25">
      <c r="A196" s="73"/>
    </row>
    <row r="197" spans="1:1" x14ac:dyDescent="0.25">
      <c r="A197" s="73"/>
    </row>
    <row r="198" spans="1:1" x14ac:dyDescent="0.25">
      <c r="A198" s="73"/>
    </row>
    <row r="199" spans="1:1" x14ac:dyDescent="0.25">
      <c r="A199" s="73"/>
    </row>
    <row r="200" spans="1:1" x14ac:dyDescent="0.25">
      <c r="A200" s="73"/>
    </row>
    <row r="201" spans="1:1" x14ac:dyDescent="0.25">
      <c r="A201" s="73"/>
    </row>
    <row r="202" spans="1:1" x14ac:dyDescent="0.25">
      <c r="A202" s="73"/>
    </row>
    <row r="203" spans="1:1" x14ac:dyDescent="0.25">
      <c r="A203" s="73"/>
    </row>
    <row r="204" spans="1:1" x14ac:dyDescent="0.25">
      <c r="A204" s="73"/>
    </row>
    <row r="205" spans="1:1" x14ac:dyDescent="0.25">
      <c r="A205" s="73"/>
    </row>
    <row r="206" spans="1:1" x14ac:dyDescent="0.25">
      <c r="A206" s="73"/>
    </row>
    <row r="207" spans="1:1" x14ac:dyDescent="0.25">
      <c r="A207" s="73"/>
    </row>
    <row r="208" spans="1:1" x14ac:dyDescent="0.25">
      <c r="A208" s="73"/>
    </row>
    <row r="209" spans="1:1" x14ac:dyDescent="0.25">
      <c r="A209" s="73"/>
    </row>
    <row r="210" spans="1:1" x14ac:dyDescent="0.25">
      <c r="A210" s="73"/>
    </row>
    <row r="211" spans="1:1" x14ac:dyDescent="0.25">
      <c r="A211" s="73"/>
    </row>
    <row r="212" spans="1:1" x14ac:dyDescent="0.25">
      <c r="A212" s="73"/>
    </row>
    <row r="213" spans="1:1" x14ac:dyDescent="0.25">
      <c r="A213" s="73"/>
    </row>
    <row r="214" spans="1:1" x14ac:dyDescent="0.25">
      <c r="A214" s="73"/>
    </row>
    <row r="215" spans="1:1" x14ac:dyDescent="0.25">
      <c r="A215" s="73"/>
    </row>
    <row r="216" spans="1:1" x14ac:dyDescent="0.25">
      <c r="A216" s="73"/>
    </row>
    <row r="217" spans="1:1" x14ac:dyDescent="0.25">
      <c r="A217" s="73"/>
    </row>
    <row r="218" spans="1:1" x14ac:dyDescent="0.25">
      <c r="A218" s="73"/>
    </row>
    <row r="219" spans="1:1" x14ac:dyDescent="0.25">
      <c r="A219" s="73"/>
    </row>
    <row r="220" spans="1:1" x14ac:dyDescent="0.25">
      <c r="A220" s="73"/>
    </row>
    <row r="221" spans="1:1" x14ac:dyDescent="0.25">
      <c r="A221" s="73"/>
    </row>
    <row r="222" spans="1:1" x14ac:dyDescent="0.25">
      <c r="A222" s="73"/>
    </row>
    <row r="223" spans="1:1" x14ac:dyDescent="0.25">
      <c r="A223" s="73"/>
    </row>
    <row r="224" spans="1:1" x14ac:dyDescent="0.25">
      <c r="A224" s="73"/>
    </row>
    <row r="225" spans="1:1" x14ac:dyDescent="0.25">
      <c r="A225" s="73"/>
    </row>
    <row r="226" spans="1:1" x14ac:dyDescent="0.25">
      <c r="A226" s="73"/>
    </row>
    <row r="227" spans="1:1" x14ac:dyDescent="0.25">
      <c r="A227" s="73"/>
    </row>
    <row r="228" spans="1:1" x14ac:dyDescent="0.25">
      <c r="A228" s="73"/>
    </row>
    <row r="229" spans="1:1" x14ac:dyDescent="0.25">
      <c r="A229" s="73"/>
    </row>
    <row r="230" spans="1:1" x14ac:dyDescent="0.25">
      <c r="A230" s="73"/>
    </row>
    <row r="231" spans="1:1" x14ac:dyDescent="0.25">
      <c r="A231" s="73"/>
    </row>
    <row r="232" spans="1:1" x14ac:dyDescent="0.25">
      <c r="A232" s="73"/>
    </row>
    <row r="233" spans="1:1" x14ac:dyDescent="0.25">
      <c r="A233" s="73"/>
    </row>
    <row r="234" spans="1:1" x14ac:dyDescent="0.25">
      <c r="A234" s="73"/>
    </row>
    <row r="235" spans="1:1" x14ac:dyDescent="0.25">
      <c r="A235" s="73"/>
    </row>
    <row r="236" spans="1:1" x14ac:dyDescent="0.25">
      <c r="A236" s="73"/>
    </row>
    <row r="237" spans="1:1" x14ac:dyDescent="0.25">
      <c r="A237" s="73"/>
    </row>
    <row r="238" spans="1:1" x14ac:dyDescent="0.25">
      <c r="A238" s="73"/>
    </row>
    <row r="239" spans="1:1" x14ac:dyDescent="0.25">
      <c r="A239" s="73"/>
    </row>
    <row r="240" spans="1:1" x14ac:dyDescent="0.25">
      <c r="A240" s="73"/>
    </row>
    <row r="241" spans="1:1" x14ac:dyDescent="0.25">
      <c r="A241" s="73"/>
    </row>
    <row r="242" spans="1:1" x14ac:dyDescent="0.25">
      <c r="A242" s="73"/>
    </row>
    <row r="243" spans="1:1" x14ac:dyDescent="0.25">
      <c r="A243" s="73"/>
    </row>
    <row r="244" spans="1:1" x14ac:dyDescent="0.25">
      <c r="A244" s="73"/>
    </row>
    <row r="245" spans="1:1" x14ac:dyDescent="0.25">
      <c r="A245" s="73"/>
    </row>
    <row r="246" spans="1:1" x14ac:dyDescent="0.25">
      <c r="A246" s="73"/>
    </row>
    <row r="247" spans="1:1" x14ac:dyDescent="0.25">
      <c r="A247" s="73"/>
    </row>
    <row r="248" spans="1:1" x14ac:dyDescent="0.25">
      <c r="A248" s="73"/>
    </row>
    <row r="249" spans="1:1" x14ac:dyDescent="0.25">
      <c r="A249" s="73"/>
    </row>
    <row r="250" spans="1:1" x14ac:dyDescent="0.25">
      <c r="A250" s="73"/>
    </row>
    <row r="251" spans="1:1" x14ac:dyDescent="0.25">
      <c r="A251" s="73"/>
    </row>
    <row r="252" spans="1:1" x14ac:dyDescent="0.25">
      <c r="A252" s="73"/>
    </row>
    <row r="253" spans="1:1" x14ac:dyDescent="0.25">
      <c r="A253" s="73"/>
    </row>
    <row r="254" spans="1:1" x14ac:dyDescent="0.25">
      <c r="A254" s="73"/>
    </row>
    <row r="255" spans="1:1" x14ac:dyDescent="0.25">
      <c r="A255" s="73"/>
    </row>
    <row r="256" spans="1:1" x14ac:dyDescent="0.25">
      <c r="A256" s="73"/>
    </row>
    <row r="257" spans="1:1" x14ac:dyDescent="0.25">
      <c r="A257" s="73"/>
    </row>
    <row r="258" spans="1:1" x14ac:dyDescent="0.25">
      <c r="A258" s="73"/>
    </row>
    <row r="259" spans="1:1" x14ac:dyDescent="0.25">
      <c r="A259" s="73"/>
    </row>
    <row r="260" spans="1:1" x14ac:dyDescent="0.25">
      <c r="A260" s="73"/>
    </row>
    <row r="261" spans="1:1" x14ac:dyDescent="0.25">
      <c r="A261" s="73"/>
    </row>
    <row r="262" spans="1:1" x14ac:dyDescent="0.25">
      <c r="A262" s="73"/>
    </row>
    <row r="263" spans="1:1" x14ac:dyDescent="0.25">
      <c r="A263" s="73"/>
    </row>
    <row r="264" spans="1:1" x14ac:dyDescent="0.25">
      <c r="A264" s="73"/>
    </row>
    <row r="265" spans="1:1" x14ac:dyDescent="0.25">
      <c r="A265" s="73"/>
    </row>
    <row r="268" spans="1:1" x14ac:dyDescent="0.25">
      <c r="A268" s="73"/>
    </row>
    <row r="269" spans="1:1" x14ac:dyDescent="0.25">
      <c r="A269" s="73"/>
    </row>
    <row r="270" spans="1:1" x14ac:dyDescent="0.25">
      <c r="A270" s="73"/>
    </row>
    <row r="271" spans="1:1" x14ac:dyDescent="0.25">
      <c r="A271" s="73"/>
    </row>
    <row r="272" spans="1:1" x14ac:dyDescent="0.25">
      <c r="A272" s="73"/>
    </row>
    <row r="273" spans="1:1" x14ac:dyDescent="0.25">
      <c r="A273" s="73"/>
    </row>
    <row r="274" spans="1:1" x14ac:dyDescent="0.25">
      <c r="A274" s="73"/>
    </row>
    <row r="275" spans="1:1" x14ac:dyDescent="0.25">
      <c r="A275" s="73"/>
    </row>
    <row r="276" spans="1:1" x14ac:dyDescent="0.25">
      <c r="A276" s="73"/>
    </row>
    <row r="277" spans="1:1" x14ac:dyDescent="0.25">
      <c r="A277" s="73"/>
    </row>
    <row r="278" spans="1:1" x14ac:dyDescent="0.25">
      <c r="A278" s="73"/>
    </row>
    <row r="279" spans="1:1" x14ac:dyDescent="0.25">
      <c r="A279" s="73"/>
    </row>
    <row r="280" spans="1:1" x14ac:dyDescent="0.25">
      <c r="A280" s="73"/>
    </row>
    <row r="281" spans="1:1" x14ac:dyDescent="0.25">
      <c r="A281" s="73"/>
    </row>
    <row r="282" spans="1:1" x14ac:dyDescent="0.25">
      <c r="A282" s="73"/>
    </row>
    <row r="283" spans="1:1" x14ac:dyDescent="0.25">
      <c r="A283" s="73"/>
    </row>
    <row r="284" spans="1:1" x14ac:dyDescent="0.25">
      <c r="A284" s="73"/>
    </row>
    <row r="285" spans="1:1" x14ac:dyDescent="0.25">
      <c r="A285" s="73"/>
    </row>
    <row r="286" spans="1:1" x14ac:dyDescent="0.25">
      <c r="A286" s="73"/>
    </row>
    <row r="287" spans="1:1" x14ac:dyDescent="0.25">
      <c r="A287" s="73"/>
    </row>
    <row r="288" spans="1:1" x14ac:dyDescent="0.25">
      <c r="A288" s="73"/>
    </row>
    <row r="289" spans="1:1" x14ac:dyDescent="0.25">
      <c r="A289" s="73"/>
    </row>
    <row r="290" spans="1:1" x14ac:dyDescent="0.25">
      <c r="A290" s="73"/>
    </row>
    <row r="291" spans="1:1" x14ac:dyDescent="0.25">
      <c r="A291" s="73"/>
    </row>
    <row r="292" spans="1:1" x14ac:dyDescent="0.25">
      <c r="A292" s="73"/>
    </row>
    <row r="293" spans="1:1" x14ac:dyDescent="0.25">
      <c r="A293" s="73"/>
    </row>
    <row r="294" spans="1:1" x14ac:dyDescent="0.25">
      <c r="A294" s="73"/>
    </row>
    <row r="295" spans="1:1" x14ac:dyDescent="0.25">
      <c r="A295" s="73"/>
    </row>
    <row r="296" spans="1:1" x14ac:dyDescent="0.25">
      <c r="A296" s="73"/>
    </row>
    <row r="297" spans="1:1" x14ac:dyDescent="0.25">
      <c r="A297" s="73"/>
    </row>
    <row r="298" spans="1:1" x14ac:dyDescent="0.25">
      <c r="A298" s="73"/>
    </row>
    <row r="299" spans="1:1" x14ac:dyDescent="0.25">
      <c r="A299" s="73"/>
    </row>
    <row r="300" spans="1:1" x14ac:dyDescent="0.25">
      <c r="A300" s="73"/>
    </row>
    <row r="301" spans="1:1" x14ac:dyDescent="0.25">
      <c r="A301" s="73"/>
    </row>
    <row r="302" spans="1:1" x14ac:dyDescent="0.25">
      <c r="A302" s="73"/>
    </row>
    <row r="303" spans="1:1" x14ac:dyDescent="0.25">
      <c r="A303" s="73"/>
    </row>
    <row r="304" spans="1:1" x14ac:dyDescent="0.25">
      <c r="A304" s="73"/>
    </row>
    <row r="305" spans="1:1" x14ac:dyDescent="0.25">
      <c r="A305" s="73"/>
    </row>
    <row r="306" spans="1:1" x14ac:dyDescent="0.25">
      <c r="A306" s="73"/>
    </row>
    <row r="307" spans="1:1" x14ac:dyDescent="0.25">
      <c r="A307" s="73"/>
    </row>
    <row r="308" spans="1:1" x14ac:dyDescent="0.25">
      <c r="A308" s="73"/>
    </row>
    <row r="309" spans="1:1" x14ac:dyDescent="0.25">
      <c r="A309" s="73"/>
    </row>
    <row r="310" spans="1:1" x14ac:dyDescent="0.25">
      <c r="A310" s="73"/>
    </row>
    <row r="311" spans="1:1" x14ac:dyDescent="0.25">
      <c r="A311" s="73"/>
    </row>
    <row r="312" spans="1:1" x14ac:dyDescent="0.25">
      <c r="A312" s="73"/>
    </row>
    <row r="313" spans="1:1" x14ac:dyDescent="0.25">
      <c r="A313" s="73"/>
    </row>
    <row r="314" spans="1:1" x14ac:dyDescent="0.25">
      <c r="A314" s="73"/>
    </row>
    <row r="315" spans="1:1" x14ac:dyDescent="0.25">
      <c r="A315" s="73"/>
    </row>
    <row r="316" spans="1:1" x14ac:dyDescent="0.25">
      <c r="A316" s="73"/>
    </row>
    <row r="317" spans="1:1" x14ac:dyDescent="0.25">
      <c r="A317" s="73"/>
    </row>
    <row r="318" spans="1:1" x14ac:dyDescent="0.25">
      <c r="A318" s="73"/>
    </row>
    <row r="319" spans="1:1" x14ac:dyDescent="0.25">
      <c r="A319" s="73"/>
    </row>
    <row r="320" spans="1:1" x14ac:dyDescent="0.25">
      <c r="A320" s="73"/>
    </row>
    <row r="321" spans="1:1" x14ac:dyDescent="0.25">
      <c r="A321" s="73"/>
    </row>
    <row r="322" spans="1:1" x14ac:dyDescent="0.25">
      <c r="A322" s="73"/>
    </row>
    <row r="323" spans="1:1" x14ac:dyDescent="0.25">
      <c r="A323" s="73"/>
    </row>
    <row r="324" spans="1:1" x14ac:dyDescent="0.25">
      <c r="A324" s="73"/>
    </row>
    <row r="325" spans="1:1" x14ac:dyDescent="0.25">
      <c r="A325" s="73"/>
    </row>
    <row r="326" spans="1:1" x14ac:dyDescent="0.25">
      <c r="A326" s="73"/>
    </row>
    <row r="327" spans="1:1" x14ac:dyDescent="0.25">
      <c r="A327" s="73"/>
    </row>
    <row r="328" spans="1:1" x14ac:dyDescent="0.25">
      <c r="A328" s="73"/>
    </row>
    <row r="329" spans="1:1" x14ac:dyDescent="0.25">
      <c r="A329" s="73"/>
    </row>
    <row r="330" spans="1:1" x14ac:dyDescent="0.25">
      <c r="A330" s="73"/>
    </row>
    <row r="331" spans="1:1" x14ac:dyDescent="0.25">
      <c r="A331" s="73"/>
    </row>
    <row r="332" spans="1:1" x14ac:dyDescent="0.25">
      <c r="A332" s="73"/>
    </row>
    <row r="333" spans="1:1" x14ac:dyDescent="0.25">
      <c r="A333" s="73"/>
    </row>
    <row r="334" spans="1:1" x14ac:dyDescent="0.25">
      <c r="A334" s="73"/>
    </row>
    <row r="335" spans="1:1" x14ac:dyDescent="0.25">
      <c r="A335" s="73"/>
    </row>
    <row r="336" spans="1:1" x14ac:dyDescent="0.25">
      <c r="A336" s="73"/>
    </row>
    <row r="337" spans="1:1" x14ac:dyDescent="0.25">
      <c r="A337" s="73"/>
    </row>
    <row r="338" spans="1:1" x14ac:dyDescent="0.25">
      <c r="A338" s="73"/>
    </row>
    <row r="339" spans="1:1" x14ac:dyDescent="0.25">
      <c r="A339" s="73"/>
    </row>
    <row r="340" spans="1:1" x14ac:dyDescent="0.25">
      <c r="A340" s="73"/>
    </row>
    <row r="341" spans="1:1" x14ac:dyDescent="0.25">
      <c r="A341" s="73"/>
    </row>
    <row r="342" spans="1:1" x14ac:dyDescent="0.25">
      <c r="A342" s="73"/>
    </row>
    <row r="343" spans="1:1" x14ac:dyDescent="0.25">
      <c r="A343" s="73"/>
    </row>
    <row r="344" spans="1:1" x14ac:dyDescent="0.25">
      <c r="A344" s="73"/>
    </row>
    <row r="345" spans="1:1" x14ac:dyDescent="0.25">
      <c r="A345" s="73"/>
    </row>
    <row r="346" spans="1:1" x14ac:dyDescent="0.25">
      <c r="A346" s="73"/>
    </row>
    <row r="347" spans="1:1" x14ac:dyDescent="0.25">
      <c r="A347" s="73"/>
    </row>
    <row r="348" spans="1:1" x14ac:dyDescent="0.25">
      <c r="A348" s="73"/>
    </row>
    <row r="349" spans="1:1" x14ac:dyDescent="0.25">
      <c r="A349" s="73"/>
    </row>
    <row r="350" spans="1:1" x14ac:dyDescent="0.25">
      <c r="A350" s="73"/>
    </row>
    <row r="351" spans="1:1" x14ac:dyDescent="0.25">
      <c r="A351" s="73"/>
    </row>
    <row r="352" spans="1:1" x14ac:dyDescent="0.25">
      <c r="A352" s="73"/>
    </row>
    <row r="353" spans="1:1" x14ac:dyDescent="0.25">
      <c r="A353" s="73"/>
    </row>
    <row r="354" spans="1:1" x14ac:dyDescent="0.25">
      <c r="A354" s="73"/>
    </row>
    <row r="355" spans="1:1" x14ac:dyDescent="0.25">
      <c r="A355" s="73"/>
    </row>
    <row r="356" spans="1:1" x14ac:dyDescent="0.25">
      <c r="A356" s="73"/>
    </row>
    <row r="357" spans="1:1" x14ac:dyDescent="0.25">
      <c r="A357" s="73"/>
    </row>
    <row r="358" spans="1:1" x14ac:dyDescent="0.25">
      <c r="A358" s="73"/>
    </row>
    <row r="359" spans="1:1" x14ac:dyDescent="0.25">
      <c r="A359" s="73"/>
    </row>
    <row r="360" spans="1:1" x14ac:dyDescent="0.25">
      <c r="A360" s="73"/>
    </row>
    <row r="361" spans="1:1" x14ac:dyDescent="0.25">
      <c r="A361" s="73"/>
    </row>
    <row r="362" spans="1:1" x14ac:dyDescent="0.25">
      <c r="A362" s="73"/>
    </row>
    <row r="363" spans="1:1" x14ac:dyDescent="0.25">
      <c r="A363" s="73"/>
    </row>
    <row r="364" spans="1:1" x14ac:dyDescent="0.25">
      <c r="A364" s="73"/>
    </row>
    <row r="365" spans="1:1" x14ac:dyDescent="0.25">
      <c r="A365" s="73"/>
    </row>
    <row r="366" spans="1:1" x14ac:dyDescent="0.25">
      <c r="A366" s="73"/>
    </row>
    <row r="367" spans="1:1" x14ac:dyDescent="0.25">
      <c r="A367" s="73"/>
    </row>
    <row r="368" spans="1:1" x14ac:dyDescent="0.25">
      <c r="A368" s="73"/>
    </row>
    <row r="369" spans="1:1" x14ac:dyDescent="0.25">
      <c r="A369" s="73"/>
    </row>
    <row r="370" spans="1:1" x14ac:dyDescent="0.25">
      <c r="A370" s="73"/>
    </row>
    <row r="371" spans="1:1" x14ac:dyDescent="0.25">
      <c r="A371" s="73"/>
    </row>
    <row r="372" spans="1:1" x14ac:dyDescent="0.25">
      <c r="A372" s="73"/>
    </row>
    <row r="373" spans="1:1" x14ac:dyDescent="0.25">
      <c r="A373" s="73"/>
    </row>
    <row r="374" spans="1:1" x14ac:dyDescent="0.25">
      <c r="A374" s="73"/>
    </row>
    <row r="375" spans="1:1" x14ac:dyDescent="0.25">
      <c r="A375" s="73"/>
    </row>
    <row r="376" spans="1:1" x14ac:dyDescent="0.25">
      <c r="A376" s="73"/>
    </row>
    <row r="377" spans="1:1" x14ac:dyDescent="0.25">
      <c r="A377" s="73"/>
    </row>
    <row r="378" spans="1:1" x14ac:dyDescent="0.25">
      <c r="A378" s="73"/>
    </row>
    <row r="379" spans="1:1" x14ac:dyDescent="0.25">
      <c r="A379" s="73"/>
    </row>
    <row r="380" spans="1:1" x14ac:dyDescent="0.25">
      <c r="A380" s="73"/>
    </row>
    <row r="381" spans="1:1" x14ac:dyDescent="0.25">
      <c r="A381" s="73"/>
    </row>
    <row r="382" spans="1:1" x14ac:dyDescent="0.25">
      <c r="A382" s="73"/>
    </row>
    <row r="383" spans="1:1" x14ac:dyDescent="0.25">
      <c r="A383" s="73"/>
    </row>
    <row r="384" spans="1:1" x14ac:dyDescent="0.25">
      <c r="A384" s="73"/>
    </row>
    <row r="385" spans="1:1" x14ac:dyDescent="0.25">
      <c r="A385" s="73"/>
    </row>
    <row r="386" spans="1:1" x14ac:dyDescent="0.25">
      <c r="A386" s="73"/>
    </row>
    <row r="387" spans="1:1" x14ac:dyDescent="0.25">
      <c r="A387" s="73"/>
    </row>
    <row r="388" spans="1:1" x14ac:dyDescent="0.25">
      <c r="A388" s="73"/>
    </row>
    <row r="389" spans="1:1" x14ac:dyDescent="0.25">
      <c r="A389" s="73"/>
    </row>
    <row r="390" spans="1:1" x14ac:dyDescent="0.25">
      <c r="A390" s="73"/>
    </row>
    <row r="391" spans="1:1" x14ac:dyDescent="0.25">
      <c r="A391" s="73"/>
    </row>
    <row r="392" spans="1:1" x14ac:dyDescent="0.25">
      <c r="A392" s="73"/>
    </row>
    <row r="393" spans="1:1" x14ac:dyDescent="0.25">
      <c r="A393" s="73"/>
    </row>
    <row r="394" spans="1:1" x14ac:dyDescent="0.25">
      <c r="A394" s="73"/>
    </row>
    <row r="395" spans="1:1" x14ac:dyDescent="0.25">
      <c r="A395" s="73"/>
    </row>
    <row r="396" spans="1:1" x14ac:dyDescent="0.25">
      <c r="A396" s="73"/>
    </row>
    <row r="397" spans="1:1" x14ac:dyDescent="0.25">
      <c r="A397" s="73"/>
    </row>
    <row r="398" spans="1:1" x14ac:dyDescent="0.25">
      <c r="A398" s="73"/>
    </row>
    <row r="399" spans="1:1" x14ac:dyDescent="0.25">
      <c r="A399" s="73"/>
    </row>
    <row r="400" spans="1:1" x14ac:dyDescent="0.25">
      <c r="A400" s="73"/>
    </row>
    <row r="401" spans="1:1" x14ac:dyDescent="0.25">
      <c r="A401" s="73"/>
    </row>
    <row r="402" spans="1:1" x14ac:dyDescent="0.25">
      <c r="A402" s="73"/>
    </row>
    <row r="403" spans="1:1" x14ac:dyDescent="0.25">
      <c r="A403" s="73"/>
    </row>
    <row r="404" spans="1:1" x14ac:dyDescent="0.25">
      <c r="A404" s="73"/>
    </row>
  </sheetData>
  <sortState ref="A1:D129">
    <sortCondition ref="A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1"/>
  <sheetViews>
    <sheetView workbookViewId="0">
      <selection activeCell="D24" sqref="D24"/>
    </sheetView>
  </sheetViews>
  <sheetFormatPr baseColWidth="10" defaultRowHeight="15" x14ac:dyDescent="0.25"/>
  <cols>
    <col min="1" max="6" width="19.85546875" customWidth="1"/>
  </cols>
  <sheetData>
    <row r="1" spans="1:6" x14ac:dyDescent="0.25">
      <c r="A1" t="s">
        <v>27</v>
      </c>
      <c r="B1" t="s">
        <v>202</v>
      </c>
      <c r="C1" t="s">
        <v>203</v>
      </c>
      <c r="D1" t="s">
        <v>204</v>
      </c>
      <c r="E1" t="s">
        <v>205</v>
      </c>
      <c r="F1" t="s">
        <v>187</v>
      </c>
    </row>
    <row r="2" spans="1:6" x14ac:dyDescent="0.25">
      <c r="A2" s="73">
        <v>46200</v>
      </c>
      <c r="B2" t="s">
        <v>248</v>
      </c>
      <c r="C2" t="s">
        <v>51</v>
      </c>
      <c r="D2" t="s">
        <v>232</v>
      </c>
      <c r="E2" t="s">
        <v>42</v>
      </c>
      <c r="F2" t="s">
        <v>289</v>
      </c>
    </row>
    <row r="3" spans="1:6" x14ac:dyDescent="0.25">
      <c r="A3" s="73">
        <v>46201</v>
      </c>
      <c r="B3" t="s">
        <v>248</v>
      </c>
      <c r="C3" t="s">
        <v>51</v>
      </c>
      <c r="D3" t="s">
        <v>232</v>
      </c>
      <c r="E3" t="s">
        <v>42</v>
      </c>
      <c r="F3" t="s">
        <v>289</v>
      </c>
    </row>
    <row r="4" spans="1:6" x14ac:dyDescent="0.25">
      <c r="A4" s="73">
        <v>46207</v>
      </c>
      <c r="B4" t="s">
        <v>239</v>
      </c>
      <c r="C4" t="s">
        <v>240</v>
      </c>
      <c r="D4" t="s">
        <v>253</v>
      </c>
      <c r="E4" t="s">
        <v>56</v>
      </c>
      <c r="F4" t="s">
        <v>289</v>
      </c>
    </row>
    <row r="5" spans="1:6" x14ac:dyDescent="0.25">
      <c r="A5" s="73">
        <v>46208</v>
      </c>
      <c r="B5" t="s">
        <v>239</v>
      </c>
      <c r="C5" t="s">
        <v>240</v>
      </c>
      <c r="D5" t="s">
        <v>253</v>
      </c>
      <c r="E5" t="s">
        <v>56</v>
      </c>
      <c r="F5" t="s">
        <v>289</v>
      </c>
    </row>
    <row r="6" spans="1:6" x14ac:dyDescent="0.25">
      <c r="A6" s="73">
        <v>46207</v>
      </c>
      <c r="B6" t="s">
        <v>225</v>
      </c>
      <c r="C6" t="s">
        <v>39</v>
      </c>
      <c r="D6" t="s">
        <v>254</v>
      </c>
      <c r="E6" t="s">
        <v>255</v>
      </c>
      <c r="F6" t="s">
        <v>289</v>
      </c>
    </row>
    <row r="7" spans="1:6" x14ac:dyDescent="0.25">
      <c r="A7" s="73">
        <v>46208</v>
      </c>
      <c r="B7" t="s">
        <v>225</v>
      </c>
      <c r="C7" t="s">
        <v>39</v>
      </c>
      <c r="D7" t="s">
        <v>254</v>
      </c>
      <c r="E7" t="s">
        <v>255</v>
      </c>
      <c r="F7" t="s">
        <v>289</v>
      </c>
    </row>
    <row r="8" spans="1:6" x14ac:dyDescent="0.25">
      <c r="A8" s="73">
        <v>46214</v>
      </c>
      <c r="B8" t="s">
        <v>254</v>
      </c>
      <c r="C8" t="s">
        <v>255</v>
      </c>
      <c r="D8" t="s">
        <v>225</v>
      </c>
      <c r="E8" t="s">
        <v>39</v>
      </c>
      <c r="F8" t="s">
        <v>289</v>
      </c>
    </row>
    <row r="9" spans="1:6" x14ac:dyDescent="0.25">
      <c r="A9" s="73">
        <v>46215</v>
      </c>
      <c r="B9" t="s">
        <v>254</v>
      </c>
      <c r="C9" t="s">
        <v>255</v>
      </c>
      <c r="D9" t="s">
        <v>225</v>
      </c>
      <c r="E9" t="s">
        <v>39</v>
      </c>
      <c r="F9" t="s">
        <v>289</v>
      </c>
    </row>
    <row r="10" spans="1:6" x14ac:dyDescent="0.25">
      <c r="A10" s="73">
        <v>46221</v>
      </c>
      <c r="B10" t="s">
        <v>228</v>
      </c>
      <c r="C10" t="s">
        <v>40</v>
      </c>
      <c r="D10" t="s">
        <v>253</v>
      </c>
      <c r="E10" t="s">
        <v>56</v>
      </c>
      <c r="F10" t="s">
        <v>289</v>
      </c>
    </row>
    <row r="11" spans="1:6" x14ac:dyDescent="0.25">
      <c r="A11" s="73">
        <v>46222</v>
      </c>
      <c r="B11" t="s">
        <v>228</v>
      </c>
      <c r="C11" t="s">
        <v>40</v>
      </c>
      <c r="D11" t="s">
        <v>253</v>
      </c>
      <c r="E11" t="s">
        <v>56</v>
      </c>
      <c r="F11" t="s">
        <v>289</v>
      </c>
    </row>
    <row r="12" spans="1:6" x14ac:dyDescent="0.25">
      <c r="A12" s="73">
        <v>46228</v>
      </c>
      <c r="B12" t="s">
        <v>249</v>
      </c>
      <c r="C12" t="s">
        <v>52</v>
      </c>
      <c r="D12" t="s">
        <v>233</v>
      </c>
      <c r="E12" t="s">
        <v>43</v>
      </c>
      <c r="F12" t="s">
        <v>289</v>
      </c>
    </row>
    <row r="13" spans="1:6" x14ac:dyDescent="0.25">
      <c r="A13" s="73">
        <v>46229</v>
      </c>
      <c r="B13" t="s">
        <v>249</v>
      </c>
      <c r="C13" t="s">
        <v>52</v>
      </c>
      <c r="D13" t="s">
        <v>233</v>
      </c>
      <c r="E13" t="s">
        <v>43</v>
      </c>
      <c r="F13" t="s">
        <v>289</v>
      </c>
    </row>
    <row r="14" spans="1:6" x14ac:dyDescent="0.25">
      <c r="A14" s="73">
        <v>46185</v>
      </c>
      <c r="D14" t="s">
        <v>252</v>
      </c>
      <c r="E14" t="s">
        <v>55</v>
      </c>
      <c r="F14" t="s">
        <v>363</v>
      </c>
    </row>
    <row r="15" spans="1:6" x14ac:dyDescent="0.25">
      <c r="A15" s="51"/>
    </row>
    <row r="16" spans="1:6" x14ac:dyDescent="0.25">
      <c r="A16" s="51"/>
    </row>
    <row r="17" spans="1:1" x14ac:dyDescent="0.25">
      <c r="A17" s="51"/>
    </row>
    <row r="18" spans="1:1" x14ac:dyDescent="0.25">
      <c r="A18" s="51"/>
    </row>
    <row r="19" spans="1:1" x14ac:dyDescent="0.25">
      <c r="A19" s="51"/>
    </row>
    <row r="20" spans="1:1" x14ac:dyDescent="0.25">
      <c r="A20" s="51"/>
    </row>
    <row r="21" spans="1:1" x14ac:dyDescent="0.25">
      <c r="A21" s="5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6"/>
  <sheetViews>
    <sheetView topLeftCell="C1" workbookViewId="0">
      <selection activeCell="G9" sqref="G9"/>
    </sheetView>
  </sheetViews>
  <sheetFormatPr baseColWidth="10" defaultRowHeight="15" x14ac:dyDescent="0.25"/>
  <cols>
    <col min="1" max="1" width="26.140625" customWidth="1"/>
    <col min="2" max="2" width="23.85546875" customWidth="1"/>
    <col min="3" max="4" width="22.140625" customWidth="1"/>
    <col min="5" max="5" width="26.140625" customWidth="1"/>
    <col min="7" max="7" width="18" customWidth="1"/>
    <col min="8" max="8" width="16.140625" customWidth="1"/>
  </cols>
  <sheetData>
    <row r="1" spans="1:7" x14ac:dyDescent="0.25">
      <c r="A1" t="s">
        <v>76</v>
      </c>
      <c r="B1" t="s">
        <v>274</v>
      </c>
      <c r="C1" t="s">
        <v>275</v>
      </c>
      <c r="D1" t="s">
        <v>276</v>
      </c>
      <c r="E1" t="s">
        <v>269</v>
      </c>
      <c r="G1" s="86" t="s">
        <v>362</v>
      </c>
    </row>
    <row r="2" spans="1:7" x14ac:dyDescent="0.25">
      <c r="A2" t="s">
        <v>69</v>
      </c>
      <c r="B2">
        <v>3000</v>
      </c>
      <c r="C2">
        <v>6000</v>
      </c>
      <c r="D2">
        <v>15000</v>
      </c>
      <c r="E2" t="b">
        <v>0</v>
      </c>
      <c r="G2" s="87">
        <v>9</v>
      </c>
    </row>
    <row r="3" spans="1:7" x14ac:dyDescent="0.25">
      <c r="A3" t="s">
        <v>70</v>
      </c>
      <c r="B3">
        <v>3000</v>
      </c>
      <c r="C3">
        <v>6000</v>
      </c>
      <c r="D3">
        <v>15000</v>
      </c>
      <c r="E3" t="b">
        <v>0</v>
      </c>
    </row>
    <row r="4" spans="1:7" x14ac:dyDescent="0.25">
      <c r="A4" t="s">
        <v>71</v>
      </c>
      <c r="B4">
        <v>1500</v>
      </c>
      <c r="C4">
        <v>4000</v>
      </c>
      <c r="D4">
        <v>15000</v>
      </c>
      <c r="E4" t="b">
        <v>0</v>
      </c>
    </row>
    <row r="5" spans="1:7" x14ac:dyDescent="0.25">
      <c r="A5" t="s">
        <v>72</v>
      </c>
      <c r="B5">
        <v>8000</v>
      </c>
      <c r="C5">
        <v>10000</v>
      </c>
      <c r="D5">
        <v>15000</v>
      </c>
      <c r="E5" t="b">
        <v>0</v>
      </c>
    </row>
    <row r="6" spans="1:7" x14ac:dyDescent="0.25">
      <c r="A6" t="s">
        <v>118</v>
      </c>
      <c r="E6" t="b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H553"/>
  <sheetViews>
    <sheetView zoomScale="85" zoomScaleNormal="85" workbookViewId="0">
      <pane xSplit="1" ySplit="2" topLeftCell="B71" activePane="bottomRight" state="frozen"/>
      <selection pane="topRight" activeCell="B1" sqref="B1"/>
      <selection pane="bottomLeft" activeCell="A3" sqref="A3"/>
      <selection pane="bottomRight" activeCell="E123" sqref="E123"/>
    </sheetView>
  </sheetViews>
  <sheetFormatPr baseColWidth="10" defaultRowHeight="15" x14ac:dyDescent="0.25"/>
  <cols>
    <col min="1" max="1" width="22.7109375" bestFit="1" customWidth="1"/>
    <col min="2" max="2" width="27.85546875" style="48" customWidth="1"/>
    <col min="3" max="4" width="46.85546875" style="48" customWidth="1"/>
    <col min="5" max="5" width="16.140625" customWidth="1"/>
    <col min="6" max="6" width="22.42578125" customWidth="1"/>
    <col min="7" max="7" width="15" customWidth="1"/>
    <col min="8" max="8" width="20.28515625" customWidth="1"/>
  </cols>
  <sheetData>
    <row r="1" spans="1:8" ht="51" customHeight="1" x14ac:dyDescent="0.25">
      <c r="B1" s="85" t="s">
        <v>98</v>
      </c>
      <c r="C1" s="85"/>
      <c r="D1" s="85"/>
      <c r="E1" s="72"/>
      <c r="F1" s="72"/>
      <c r="G1" s="72"/>
    </row>
    <row r="2" spans="1:8" x14ac:dyDescent="0.25">
      <c r="A2" t="s">
        <v>78</v>
      </c>
      <c r="B2" s="48" t="s">
        <v>88</v>
      </c>
      <c r="C2" s="48" t="s">
        <v>79</v>
      </c>
      <c r="D2" s="48" t="s">
        <v>92</v>
      </c>
      <c r="E2" t="s">
        <v>84</v>
      </c>
      <c r="F2" t="s">
        <v>85</v>
      </c>
      <c r="G2" t="s">
        <v>86</v>
      </c>
      <c r="H2" t="s">
        <v>146</v>
      </c>
    </row>
    <row r="3" spans="1:8" x14ac:dyDescent="0.25">
      <c r="A3" t="s">
        <v>80</v>
      </c>
      <c r="B3" s="48" t="s">
        <v>82</v>
      </c>
      <c r="C3" s="48" t="s">
        <v>83</v>
      </c>
      <c r="E3" s="51">
        <v>46084</v>
      </c>
      <c r="G3" t="s">
        <v>87</v>
      </c>
      <c r="H3" t="s">
        <v>184</v>
      </c>
    </row>
    <row r="4" spans="1:8" s="56" customFormat="1" ht="6" customHeight="1" x14ac:dyDescent="0.25">
      <c r="B4" s="57"/>
      <c r="C4" s="57"/>
      <c r="D4" s="57"/>
    </row>
    <row r="5" spans="1:8" x14ac:dyDescent="0.25">
      <c r="A5" s="51" t="s">
        <v>81</v>
      </c>
      <c r="B5" s="48" t="s">
        <v>89</v>
      </c>
      <c r="E5" s="51">
        <v>46091</v>
      </c>
      <c r="F5" s="51">
        <v>46093</v>
      </c>
      <c r="G5" t="s">
        <v>87</v>
      </c>
      <c r="H5" t="s">
        <v>147</v>
      </c>
    </row>
    <row r="6" spans="1:8" hidden="1" x14ac:dyDescent="0.25">
      <c r="C6" s="48" t="s">
        <v>159</v>
      </c>
      <c r="D6" s="48" t="s">
        <v>93</v>
      </c>
    </row>
    <row r="7" spans="1:8" hidden="1" x14ac:dyDescent="0.25">
      <c r="C7" s="48" t="s">
        <v>90</v>
      </c>
      <c r="D7" s="48" t="s">
        <v>93</v>
      </c>
    </row>
    <row r="8" spans="1:8" ht="30" hidden="1" x14ac:dyDescent="0.25">
      <c r="C8" s="48" t="s">
        <v>109</v>
      </c>
      <c r="D8" s="48" t="s">
        <v>110</v>
      </c>
    </row>
    <row r="9" spans="1:8" hidden="1" x14ac:dyDescent="0.25"/>
    <row r="10" spans="1:8" ht="30" x14ac:dyDescent="0.25">
      <c r="B10" s="52" t="s">
        <v>99</v>
      </c>
    </row>
    <row r="11" spans="1:8" ht="30" hidden="1" x14ac:dyDescent="0.25">
      <c r="B11" s="52"/>
      <c r="C11" s="52" t="s">
        <v>91</v>
      </c>
      <c r="D11" s="52" t="s">
        <v>95</v>
      </c>
    </row>
    <row r="12" spans="1:8" hidden="1" x14ac:dyDescent="0.25">
      <c r="B12" s="52"/>
      <c r="C12" s="52"/>
      <c r="D12" s="52" t="s">
        <v>94</v>
      </c>
    </row>
    <row r="13" spans="1:8" hidden="1" x14ac:dyDescent="0.25">
      <c r="B13" s="52"/>
      <c r="C13" s="52"/>
      <c r="D13" s="52" t="s">
        <v>96</v>
      </c>
    </row>
    <row r="14" spans="1:8" hidden="1" x14ac:dyDescent="0.25">
      <c r="B14" s="52"/>
      <c r="C14" s="52"/>
      <c r="D14" s="52" t="s">
        <v>97</v>
      </c>
    </row>
    <row r="15" spans="1:8" ht="45" hidden="1" x14ac:dyDescent="0.25">
      <c r="B15" s="52"/>
      <c r="C15" s="52"/>
      <c r="D15" s="52" t="s">
        <v>101</v>
      </c>
    </row>
    <row r="16" spans="1:8" hidden="1" x14ac:dyDescent="0.25">
      <c r="B16" s="52"/>
      <c r="C16" s="52"/>
      <c r="D16" s="52"/>
    </row>
    <row r="17" spans="1:8" ht="30" hidden="1" x14ac:dyDescent="0.25">
      <c r="B17" s="52"/>
      <c r="C17" s="52" t="s">
        <v>100</v>
      </c>
      <c r="D17" s="52" t="s">
        <v>103</v>
      </c>
    </row>
    <row r="18" spans="1:8" ht="90" hidden="1" x14ac:dyDescent="0.25">
      <c r="B18" s="52"/>
      <c r="C18" s="52"/>
      <c r="D18" s="52" t="s">
        <v>102</v>
      </c>
    </row>
    <row r="19" spans="1:8" hidden="1" x14ac:dyDescent="0.25">
      <c r="B19" s="52"/>
      <c r="C19" s="52"/>
    </row>
    <row r="20" spans="1:8" x14ac:dyDescent="0.25">
      <c r="B20" s="52" t="s">
        <v>105</v>
      </c>
      <c r="D20" s="52"/>
    </row>
    <row r="21" spans="1:8" ht="30" hidden="1" x14ac:dyDescent="0.25">
      <c r="B21" s="52"/>
      <c r="C21" s="52" t="s">
        <v>104</v>
      </c>
      <c r="D21" s="52" t="s">
        <v>106</v>
      </c>
    </row>
    <row r="22" spans="1:8" hidden="1" x14ac:dyDescent="0.25">
      <c r="B22" s="52"/>
      <c r="C22" s="52"/>
      <c r="D22" s="52"/>
    </row>
    <row r="23" spans="1:8" x14ac:dyDescent="0.25">
      <c r="B23" s="52" t="s">
        <v>107</v>
      </c>
      <c r="C23" s="52"/>
      <c r="D23" s="52"/>
    </row>
    <row r="24" spans="1:8" ht="60" hidden="1" x14ac:dyDescent="0.25">
      <c r="B24" s="52"/>
      <c r="C24" s="52" t="s">
        <v>111</v>
      </c>
      <c r="D24" s="52" t="s">
        <v>108</v>
      </c>
    </row>
    <row r="25" spans="1:8" s="56" customFormat="1" ht="6.75" customHeight="1" x14ac:dyDescent="0.25">
      <c r="B25" s="58"/>
      <c r="C25" s="58"/>
      <c r="D25" s="59"/>
    </row>
    <row r="26" spans="1:8" x14ac:dyDescent="0.25">
      <c r="A26" t="s">
        <v>114</v>
      </c>
      <c r="B26" s="52" t="s">
        <v>117</v>
      </c>
      <c r="C26" s="52"/>
      <c r="D26" s="52"/>
      <c r="E26" s="51">
        <v>46141</v>
      </c>
      <c r="F26" s="51">
        <v>46146</v>
      </c>
      <c r="G26" t="s">
        <v>87</v>
      </c>
      <c r="H26" t="s">
        <v>148</v>
      </c>
    </row>
    <row r="27" spans="1:8" ht="60" hidden="1" x14ac:dyDescent="0.25">
      <c r="B27" s="52"/>
      <c r="C27" s="52" t="s">
        <v>115</v>
      </c>
      <c r="D27" s="52"/>
    </row>
    <row r="28" spans="1:8" hidden="1" x14ac:dyDescent="0.25">
      <c r="B28" s="52"/>
      <c r="C28" s="52"/>
      <c r="D28" s="52"/>
    </row>
    <row r="29" spans="1:8" hidden="1" x14ac:dyDescent="0.25">
      <c r="B29" s="52"/>
      <c r="C29" s="48" t="s">
        <v>116</v>
      </c>
      <c r="D29" s="48" t="s">
        <v>119</v>
      </c>
    </row>
    <row r="30" spans="1:8" hidden="1" x14ac:dyDescent="0.25">
      <c r="B30" s="52"/>
      <c r="C30" s="52"/>
      <c r="D30" s="48" t="s">
        <v>120</v>
      </c>
    </row>
    <row r="31" spans="1:8" hidden="1" x14ac:dyDescent="0.25">
      <c r="B31" s="52"/>
      <c r="C31" s="52"/>
      <c r="D31" s="52"/>
    </row>
    <row r="32" spans="1:8" x14ac:dyDescent="0.25">
      <c r="B32" s="48" t="s">
        <v>121</v>
      </c>
      <c r="C32" s="52"/>
      <c r="D32" s="52"/>
    </row>
    <row r="33" spans="2:4" ht="30" hidden="1" x14ac:dyDescent="0.25">
      <c r="B33" s="52"/>
      <c r="C33" s="48" t="s">
        <v>122</v>
      </c>
      <c r="D33" s="48" t="s">
        <v>123</v>
      </c>
    </row>
    <row r="34" spans="2:4" ht="90" hidden="1" x14ac:dyDescent="0.25">
      <c r="B34" s="52"/>
      <c r="C34" s="52"/>
      <c r="D34" s="48" t="s">
        <v>140</v>
      </c>
    </row>
    <row r="35" spans="2:4" hidden="1" x14ac:dyDescent="0.25">
      <c r="B35" s="52"/>
      <c r="C35" s="52"/>
      <c r="D35" s="52"/>
    </row>
    <row r="36" spans="2:4" x14ac:dyDescent="0.25">
      <c r="B36" t="s">
        <v>124</v>
      </c>
      <c r="C36" s="52"/>
      <c r="D36" s="52"/>
    </row>
    <row r="37" spans="2:4" ht="45" hidden="1" x14ac:dyDescent="0.25">
      <c r="B37" s="52"/>
      <c r="C37" s="48" t="s">
        <v>125</v>
      </c>
      <c r="D37" t="s">
        <v>123</v>
      </c>
    </row>
    <row r="38" spans="2:4" ht="45" hidden="1" x14ac:dyDescent="0.25">
      <c r="B38" s="52"/>
      <c r="C38" s="52"/>
      <c r="D38" s="48" t="s">
        <v>141</v>
      </c>
    </row>
    <row r="39" spans="2:4" hidden="1" x14ac:dyDescent="0.25">
      <c r="B39" s="52"/>
      <c r="C39" s="52"/>
      <c r="D39" t="s">
        <v>126</v>
      </c>
    </row>
    <row r="40" spans="2:4" hidden="1" x14ac:dyDescent="0.25">
      <c r="B40" s="52"/>
      <c r="C40" s="52"/>
      <c r="D40" s="52"/>
    </row>
    <row r="41" spans="2:4" x14ac:dyDescent="0.25">
      <c r="B41" t="s">
        <v>127</v>
      </c>
      <c r="D41" s="52"/>
    </row>
    <row r="42" spans="2:4" hidden="1" x14ac:dyDescent="0.25">
      <c r="B42" s="52"/>
      <c r="C42" t="s">
        <v>128</v>
      </c>
      <c r="D42" t="s">
        <v>93</v>
      </c>
    </row>
    <row r="43" spans="2:4" hidden="1" x14ac:dyDescent="0.25">
      <c r="B43" s="52"/>
      <c r="C43"/>
      <c r="D43"/>
    </row>
    <row r="44" spans="2:4" ht="30" hidden="1" x14ac:dyDescent="0.25">
      <c r="B44" s="52"/>
      <c r="C44" s="52" t="s">
        <v>129</v>
      </c>
      <c r="D44" s="48" t="s">
        <v>142</v>
      </c>
    </row>
    <row r="45" spans="2:4" hidden="1" x14ac:dyDescent="0.25">
      <c r="B45" s="52"/>
      <c r="C45" s="52"/>
    </row>
    <row r="46" spans="2:4" ht="30" hidden="1" x14ac:dyDescent="0.25">
      <c r="B46" s="52"/>
      <c r="C46" s="52" t="s">
        <v>130</v>
      </c>
      <c r="D46" s="52" t="s">
        <v>131</v>
      </c>
    </row>
    <row r="47" spans="2:4" hidden="1" x14ac:dyDescent="0.25">
      <c r="B47" s="52"/>
      <c r="C47" s="52"/>
      <c r="D47" s="52"/>
    </row>
    <row r="48" spans="2:4" x14ac:dyDescent="0.25">
      <c r="B48" t="s">
        <v>132</v>
      </c>
    </row>
    <row r="49" spans="1:8" ht="45" hidden="1" x14ac:dyDescent="0.25">
      <c r="B49" s="52"/>
      <c r="C49" s="52" t="s">
        <v>133</v>
      </c>
      <c r="D49" t="s">
        <v>120</v>
      </c>
    </row>
    <row r="50" spans="1:8" hidden="1" x14ac:dyDescent="0.25">
      <c r="C50" s="52"/>
      <c r="D50" s="52"/>
    </row>
    <row r="51" spans="1:8" x14ac:dyDescent="0.25">
      <c r="B51" t="s">
        <v>134</v>
      </c>
      <c r="C51" s="52"/>
      <c r="D51" s="52"/>
    </row>
    <row r="52" spans="1:8" ht="30" hidden="1" x14ac:dyDescent="0.25">
      <c r="B52" s="52"/>
      <c r="C52" s="52" t="s">
        <v>135</v>
      </c>
      <c r="D52" s="52" t="s">
        <v>136</v>
      </c>
    </row>
    <row r="53" spans="1:8" hidden="1" x14ac:dyDescent="0.25">
      <c r="B53" s="52"/>
      <c r="C53" s="52"/>
      <c r="D53" s="52"/>
    </row>
    <row r="54" spans="1:8" x14ac:dyDescent="0.25">
      <c r="B54" s="52" t="s">
        <v>137</v>
      </c>
      <c r="C54" s="52"/>
      <c r="D54" s="52"/>
    </row>
    <row r="55" spans="1:8" ht="45" hidden="1" x14ac:dyDescent="0.25">
      <c r="B55" s="52"/>
      <c r="C55" s="52" t="s">
        <v>138</v>
      </c>
      <c r="D55" s="52" t="s">
        <v>139</v>
      </c>
    </row>
    <row r="56" spans="1:8" hidden="1" x14ac:dyDescent="0.25">
      <c r="B56" s="52"/>
      <c r="C56" s="52"/>
      <c r="D56" s="52"/>
    </row>
    <row r="57" spans="1:8" x14ac:dyDescent="0.25">
      <c r="B57" t="s">
        <v>143</v>
      </c>
      <c r="C57" s="52"/>
      <c r="D57" s="52"/>
    </row>
    <row r="58" spans="1:8" ht="30" hidden="1" x14ac:dyDescent="0.25">
      <c r="B58" s="52"/>
      <c r="C58" s="52" t="s">
        <v>144</v>
      </c>
      <c r="D58" s="52" t="s">
        <v>145</v>
      </c>
    </row>
    <row r="59" spans="1:8" s="56" customFormat="1" ht="6" customHeight="1" x14ac:dyDescent="0.25">
      <c r="B59" s="58"/>
      <c r="C59" s="58"/>
      <c r="D59" s="58"/>
    </row>
    <row r="60" spans="1:8" x14ac:dyDescent="0.25">
      <c r="A60" t="s">
        <v>149</v>
      </c>
      <c r="B60" s="52" t="s">
        <v>150</v>
      </c>
      <c r="C60" s="52"/>
      <c r="D60" s="52"/>
      <c r="E60" s="51">
        <v>46146</v>
      </c>
      <c r="F60" s="51">
        <v>46146</v>
      </c>
      <c r="G60" t="s">
        <v>87</v>
      </c>
      <c r="H60" t="s">
        <v>148</v>
      </c>
    </row>
    <row r="61" spans="1:8" ht="30" hidden="1" x14ac:dyDescent="0.25">
      <c r="B61" s="52"/>
      <c r="C61" s="52" t="s">
        <v>151</v>
      </c>
      <c r="D61" s="52"/>
    </row>
    <row r="62" spans="1:8" hidden="1" x14ac:dyDescent="0.25">
      <c r="B62" s="52"/>
      <c r="C62" s="52"/>
      <c r="D62" s="52"/>
    </row>
    <row r="63" spans="1:8" hidden="1" x14ac:dyDescent="0.25">
      <c r="B63" s="52"/>
      <c r="C63" s="52" t="s">
        <v>152</v>
      </c>
      <c r="D63" s="52" t="s">
        <v>153</v>
      </c>
    </row>
    <row r="64" spans="1:8" hidden="1" x14ac:dyDescent="0.25">
      <c r="B64" s="52"/>
      <c r="C64" s="52"/>
      <c r="D64" s="52"/>
    </row>
    <row r="65" spans="1:8" ht="30" hidden="1" x14ac:dyDescent="0.25">
      <c r="B65" s="52"/>
      <c r="C65" s="52" t="s">
        <v>154</v>
      </c>
      <c r="D65" s="52" t="s">
        <v>155</v>
      </c>
    </row>
    <row r="66" spans="1:8" hidden="1" x14ac:dyDescent="0.25">
      <c r="B66" s="52"/>
      <c r="C66" s="52"/>
      <c r="D66" s="52"/>
    </row>
    <row r="67" spans="1:8" ht="45" hidden="1" x14ac:dyDescent="0.25">
      <c r="B67" s="52"/>
      <c r="C67" s="52" t="s">
        <v>156</v>
      </c>
      <c r="D67" s="71" t="s">
        <v>158</v>
      </c>
    </row>
    <row r="68" spans="1:8" hidden="1" x14ac:dyDescent="0.25">
      <c r="B68" s="52"/>
      <c r="C68" s="52"/>
      <c r="D68" s="52"/>
    </row>
    <row r="69" spans="1:8" ht="30" hidden="1" x14ac:dyDescent="0.25">
      <c r="B69" s="52"/>
      <c r="C69" s="52" t="s">
        <v>157</v>
      </c>
      <c r="D69" s="52"/>
    </row>
    <row r="70" spans="1:8" s="56" customFormat="1" ht="7.5" customHeight="1" x14ac:dyDescent="0.25">
      <c r="B70" s="58"/>
      <c r="C70" s="58"/>
      <c r="D70" s="58"/>
    </row>
    <row r="71" spans="1:8" x14ac:dyDescent="0.25">
      <c r="A71" t="s">
        <v>161</v>
      </c>
      <c r="B71" s="52" t="s">
        <v>162</v>
      </c>
      <c r="C71" s="52"/>
      <c r="D71" s="52"/>
      <c r="E71" s="51">
        <v>46155</v>
      </c>
      <c r="F71" s="51">
        <v>46160</v>
      </c>
      <c r="G71" t="s">
        <v>87</v>
      </c>
      <c r="H71" t="s">
        <v>148</v>
      </c>
    </row>
    <row r="72" spans="1:8" ht="30" hidden="1" x14ac:dyDescent="0.25">
      <c r="B72" s="52"/>
      <c r="C72" s="52" t="s">
        <v>163</v>
      </c>
      <c r="D72" s="52" t="s">
        <v>136</v>
      </c>
    </row>
    <row r="73" spans="1:8" hidden="1" x14ac:dyDescent="0.25">
      <c r="B73" s="52"/>
      <c r="C73" s="52"/>
      <c r="D73" s="52"/>
    </row>
    <row r="74" spans="1:8" ht="30" hidden="1" x14ac:dyDescent="0.25">
      <c r="B74" s="52"/>
      <c r="C74" s="52" t="s">
        <v>164</v>
      </c>
      <c r="D74" s="52" t="s">
        <v>165</v>
      </c>
    </row>
    <row r="75" spans="1:8" hidden="1" x14ac:dyDescent="0.25">
      <c r="B75" s="52"/>
      <c r="C75" s="52"/>
      <c r="D75" s="52"/>
    </row>
    <row r="76" spans="1:8" x14ac:dyDescent="0.25">
      <c r="B76" s="52" t="s">
        <v>167</v>
      </c>
      <c r="D76" s="52"/>
    </row>
    <row r="77" spans="1:8" hidden="1" x14ac:dyDescent="0.25">
      <c r="B77" s="52"/>
      <c r="C77" s="52" t="s">
        <v>166</v>
      </c>
      <c r="D77" s="52" t="s">
        <v>136</v>
      </c>
    </row>
    <row r="78" spans="1:8" hidden="1" x14ac:dyDescent="0.25">
      <c r="B78" s="52"/>
      <c r="C78" s="52"/>
      <c r="D78" s="52"/>
    </row>
    <row r="79" spans="1:8" ht="45" hidden="1" x14ac:dyDescent="0.25">
      <c r="B79" s="52"/>
      <c r="C79" s="52" t="s">
        <v>168</v>
      </c>
      <c r="D79" s="71" t="s">
        <v>175</v>
      </c>
    </row>
    <row r="80" spans="1:8" hidden="1" x14ac:dyDescent="0.25">
      <c r="B80" s="52"/>
      <c r="C80" s="52"/>
      <c r="D80" s="52"/>
    </row>
    <row r="81" spans="2:4" x14ac:dyDescent="0.25">
      <c r="B81" s="52" t="s">
        <v>169</v>
      </c>
      <c r="C81" s="52"/>
      <c r="D81" s="52"/>
    </row>
    <row r="82" spans="2:4" ht="30" hidden="1" x14ac:dyDescent="0.25">
      <c r="B82" s="52"/>
      <c r="C82" s="52" t="s">
        <v>170</v>
      </c>
      <c r="D82" s="52" t="s">
        <v>171</v>
      </c>
    </row>
    <row r="83" spans="2:4" hidden="1" x14ac:dyDescent="0.25">
      <c r="B83" s="52"/>
      <c r="C83" s="52"/>
      <c r="D83" s="52"/>
    </row>
    <row r="84" spans="2:4" ht="30" hidden="1" x14ac:dyDescent="0.25">
      <c r="B84" s="52"/>
      <c r="C84" s="52" t="s">
        <v>172</v>
      </c>
      <c r="D84" s="52" t="s">
        <v>171</v>
      </c>
    </row>
    <row r="85" spans="2:4" hidden="1" x14ac:dyDescent="0.25">
      <c r="B85" s="52"/>
      <c r="C85" s="52"/>
      <c r="D85" s="52"/>
    </row>
    <row r="86" spans="2:4" hidden="1" x14ac:dyDescent="0.25">
      <c r="B86" s="52"/>
      <c r="C86" s="52" t="s">
        <v>173</v>
      </c>
      <c r="D86" s="52" t="s">
        <v>174</v>
      </c>
    </row>
    <row r="87" spans="2:4" hidden="1" x14ac:dyDescent="0.25">
      <c r="B87" s="52"/>
      <c r="C87" s="52"/>
      <c r="D87" s="52"/>
    </row>
    <row r="88" spans="2:4" x14ac:dyDescent="0.25">
      <c r="B88" s="52" t="s">
        <v>176</v>
      </c>
      <c r="C88" s="52"/>
      <c r="D88" s="52"/>
    </row>
    <row r="89" spans="2:4" ht="30" hidden="1" x14ac:dyDescent="0.25">
      <c r="B89" s="52"/>
      <c r="C89" s="52" t="s">
        <v>177</v>
      </c>
      <c r="D89" s="52" t="s">
        <v>179</v>
      </c>
    </row>
    <row r="90" spans="2:4" hidden="1" x14ac:dyDescent="0.25">
      <c r="B90" s="52"/>
      <c r="C90" s="52"/>
      <c r="D90" s="52"/>
    </row>
    <row r="91" spans="2:4" ht="45" hidden="1" x14ac:dyDescent="0.25">
      <c r="B91" s="52"/>
      <c r="C91" s="52" t="s">
        <v>178</v>
      </c>
      <c r="D91" s="71" t="s">
        <v>158</v>
      </c>
    </row>
    <row r="92" spans="2:4" hidden="1" x14ac:dyDescent="0.25">
      <c r="B92" s="52"/>
      <c r="C92" s="52"/>
      <c r="D92" s="52"/>
    </row>
    <row r="93" spans="2:4" x14ac:dyDescent="0.25">
      <c r="B93" s="52" t="s">
        <v>180</v>
      </c>
      <c r="C93" s="52"/>
      <c r="D93" s="52"/>
    </row>
    <row r="94" spans="2:4" ht="45" hidden="1" x14ac:dyDescent="0.25">
      <c r="B94" s="52"/>
      <c r="C94" s="52" t="s">
        <v>182</v>
      </c>
      <c r="D94" s="52" t="s">
        <v>181</v>
      </c>
    </row>
    <row r="95" spans="2:4" hidden="1" x14ac:dyDescent="0.25">
      <c r="B95" s="52"/>
      <c r="C95" s="52"/>
      <c r="D95" s="52"/>
    </row>
    <row r="96" spans="2:4" ht="45" hidden="1" x14ac:dyDescent="0.25">
      <c r="B96" s="52"/>
      <c r="C96" s="52" t="s">
        <v>183</v>
      </c>
      <c r="D96" s="71" t="s">
        <v>158</v>
      </c>
    </row>
    <row r="97" spans="1:8" s="56" customFormat="1" ht="8.25" customHeight="1" x14ac:dyDescent="0.25">
      <c r="B97" s="58"/>
      <c r="C97" s="58"/>
      <c r="D97" s="58"/>
    </row>
    <row r="98" spans="1:8" x14ac:dyDescent="0.25">
      <c r="A98" t="s">
        <v>277</v>
      </c>
      <c r="B98" s="52" t="s">
        <v>278</v>
      </c>
      <c r="C98" s="52"/>
      <c r="D98" s="52"/>
      <c r="E98" s="51">
        <v>46174</v>
      </c>
      <c r="F98" s="51">
        <v>46174</v>
      </c>
      <c r="G98" t="s">
        <v>87</v>
      </c>
      <c r="H98" t="s">
        <v>148</v>
      </c>
    </row>
    <row r="99" spans="1:8" ht="30" hidden="1" x14ac:dyDescent="0.25">
      <c r="B99" s="52"/>
      <c r="C99" s="52" t="s">
        <v>279</v>
      </c>
      <c r="D99" s="52" t="s">
        <v>280</v>
      </c>
    </row>
    <row r="100" spans="1:8" hidden="1" x14ac:dyDescent="0.25">
      <c r="B100" s="52"/>
      <c r="C100" s="52"/>
      <c r="D100" s="52"/>
    </row>
    <row r="101" spans="1:8" hidden="1" x14ac:dyDescent="0.25">
      <c r="B101" s="52"/>
      <c r="C101" s="52" t="s">
        <v>281</v>
      </c>
      <c r="D101" s="52" t="s">
        <v>280</v>
      </c>
    </row>
    <row r="102" spans="1:8" hidden="1" x14ac:dyDescent="0.25">
      <c r="B102" s="52"/>
      <c r="C102" s="52"/>
      <c r="D102" s="52"/>
    </row>
    <row r="103" spans="1:8" x14ac:dyDescent="0.25">
      <c r="B103" s="52" t="s">
        <v>282</v>
      </c>
      <c r="C103" s="52"/>
      <c r="D103" s="52"/>
    </row>
    <row r="104" spans="1:8" ht="30" hidden="1" x14ac:dyDescent="0.25">
      <c r="B104" s="52"/>
      <c r="C104" s="52" t="s">
        <v>283</v>
      </c>
      <c r="D104" s="52" t="s">
        <v>174</v>
      </c>
    </row>
    <row r="105" spans="1:8" hidden="1" x14ac:dyDescent="0.25">
      <c r="B105" s="52"/>
      <c r="C105" s="52"/>
      <c r="D105" s="52"/>
    </row>
    <row r="106" spans="1:8" ht="30" hidden="1" x14ac:dyDescent="0.25">
      <c r="B106" s="52"/>
      <c r="C106" s="52" t="s">
        <v>284</v>
      </c>
      <c r="D106" s="52" t="s">
        <v>174</v>
      </c>
    </row>
    <row r="107" spans="1:8" hidden="1" x14ac:dyDescent="0.25">
      <c r="B107" s="52"/>
      <c r="C107" s="52"/>
      <c r="D107" s="52"/>
    </row>
    <row r="108" spans="1:8" ht="30" hidden="1" x14ac:dyDescent="0.25">
      <c r="B108" s="52"/>
      <c r="C108" s="52" t="s">
        <v>285</v>
      </c>
      <c r="D108" s="52" t="s">
        <v>174</v>
      </c>
    </row>
    <row r="109" spans="1:8" hidden="1" x14ac:dyDescent="0.25">
      <c r="B109" s="52"/>
      <c r="C109" s="52"/>
      <c r="D109" s="52"/>
    </row>
    <row r="110" spans="1:8" hidden="1" x14ac:dyDescent="0.25">
      <c r="B110" s="52"/>
      <c r="C110" s="52" t="s">
        <v>286</v>
      </c>
      <c r="D110" s="52" t="s">
        <v>174</v>
      </c>
    </row>
    <row r="111" spans="1:8" s="56" customFormat="1" ht="8.25" customHeight="1" x14ac:dyDescent="0.25">
      <c r="B111" s="58"/>
      <c r="C111" s="58"/>
      <c r="D111" s="58"/>
    </row>
    <row r="112" spans="1:8" x14ac:dyDescent="0.25">
      <c r="A112" t="s">
        <v>295</v>
      </c>
      <c r="B112" s="52" t="s">
        <v>296</v>
      </c>
      <c r="C112" s="52"/>
      <c r="D112" s="52"/>
      <c r="E112" s="51">
        <v>46160</v>
      </c>
      <c r="G112" t="s">
        <v>87</v>
      </c>
      <c r="H112" t="s">
        <v>148</v>
      </c>
    </row>
    <row r="113" spans="2:4" x14ac:dyDescent="0.25">
      <c r="B113" s="52"/>
      <c r="C113" t="s">
        <v>297</v>
      </c>
      <c r="D113" s="52" t="s">
        <v>298</v>
      </c>
    </row>
    <row r="114" spans="2:4" x14ac:dyDescent="0.25">
      <c r="B114" s="52"/>
      <c r="C114" s="52"/>
      <c r="D114" s="52"/>
    </row>
    <row r="115" spans="2:4" x14ac:dyDescent="0.25">
      <c r="B115" s="52"/>
      <c r="C115" t="s">
        <v>299</v>
      </c>
      <c r="D115" s="52" t="s">
        <v>300</v>
      </c>
    </row>
    <row r="116" spans="2:4" x14ac:dyDescent="0.25">
      <c r="B116" s="52"/>
      <c r="C116" s="52"/>
      <c r="D116" s="52"/>
    </row>
    <row r="117" spans="2:4" x14ac:dyDescent="0.25">
      <c r="B117" s="52"/>
      <c r="C117" t="s">
        <v>301</v>
      </c>
      <c r="D117" s="52" t="s">
        <v>302</v>
      </c>
    </row>
    <row r="118" spans="2:4" x14ac:dyDescent="0.25">
      <c r="B118" s="52"/>
      <c r="C118" s="52"/>
      <c r="D118" s="52"/>
    </row>
    <row r="119" spans="2:4" x14ac:dyDescent="0.25">
      <c r="B119" s="52"/>
      <c r="C119" t="s">
        <v>303</v>
      </c>
      <c r="D119" s="52" t="s">
        <v>304</v>
      </c>
    </row>
    <row r="120" spans="2:4" x14ac:dyDescent="0.25">
      <c r="B120" s="52"/>
      <c r="C120" s="52"/>
      <c r="D120" s="52"/>
    </row>
    <row r="121" spans="2:4" ht="30" x14ac:dyDescent="0.25">
      <c r="B121" s="52"/>
      <c r="C121" t="s">
        <v>305</v>
      </c>
      <c r="D121" s="52" t="s">
        <v>306</v>
      </c>
    </row>
    <row r="122" spans="2:4" x14ac:dyDescent="0.25">
      <c r="B122" s="52"/>
      <c r="C122" s="52"/>
      <c r="D122" s="52"/>
    </row>
    <row r="123" spans="2:4" x14ac:dyDescent="0.25">
      <c r="B123" s="52"/>
      <c r="C123" s="52" t="s">
        <v>307</v>
      </c>
      <c r="D123" s="52" t="s">
        <v>308</v>
      </c>
    </row>
    <row r="124" spans="2:4" x14ac:dyDescent="0.25">
      <c r="B124" s="52"/>
      <c r="C124" s="52"/>
      <c r="D124" s="52"/>
    </row>
    <row r="125" spans="2:4" x14ac:dyDescent="0.25">
      <c r="B125" s="52"/>
      <c r="C125" s="52" t="s">
        <v>309</v>
      </c>
      <c r="D125" s="52" t="s">
        <v>310</v>
      </c>
    </row>
    <row r="126" spans="2:4" x14ac:dyDescent="0.25">
      <c r="B126" s="52"/>
      <c r="C126" s="52"/>
      <c r="D126" s="52"/>
    </row>
    <row r="127" spans="2:4" x14ac:dyDescent="0.25">
      <c r="B127" t="s">
        <v>311</v>
      </c>
      <c r="C127" s="52"/>
      <c r="D127" s="52"/>
    </row>
    <row r="128" spans="2:4" x14ac:dyDescent="0.25">
      <c r="B128" s="52"/>
      <c r="C128" s="52" t="s">
        <v>312</v>
      </c>
      <c r="D128" s="52" t="s">
        <v>313</v>
      </c>
    </row>
    <row r="129" spans="2:4" x14ac:dyDescent="0.25">
      <c r="B129" s="52"/>
      <c r="C129" s="52"/>
      <c r="D129" s="52"/>
    </row>
    <row r="130" spans="2:4" x14ac:dyDescent="0.25">
      <c r="B130" s="52" t="s">
        <v>314</v>
      </c>
      <c r="C130" s="52"/>
      <c r="D130" s="52"/>
    </row>
    <row r="131" spans="2:4" x14ac:dyDescent="0.25">
      <c r="B131" s="52"/>
      <c r="C131" s="52" t="s">
        <v>315</v>
      </c>
      <c r="D131" s="48" t="s">
        <v>317</v>
      </c>
    </row>
    <row r="132" spans="2:4" x14ac:dyDescent="0.25">
      <c r="B132" s="52"/>
      <c r="C132" s="52"/>
      <c r="D132" s="52"/>
    </row>
    <row r="133" spans="2:4" x14ac:dyDescent="0.25">
      <c r="B133" s="52" t="s">
        <v>318</v>
      </c>
      <c r="C133" s="52"/>
      <c r="D133" s="52"/>
    </row>
    <row r="134" spans="2:4" x14ac:dyDescent="0.25">
      <c r="B134" s="52"/>
      <c r="C134" s="52" t="s">
        <v>315</v>
      </c>
      <c r="D134" s="52" t="s">
        <v>316</v>
      </c>
    </row>
    <row r="135" spans="2:4" x14ac:dyDescent="0.25">
      <c r="B135" s="52"/>
      <c r="C135" s="52"/>
      <c r="D135" s="52"/>
    </row>
    <row r="136" spans="2:4" x14ac:dyDescent="0.25">
      <c r="B136" s="52" t="s">
        <v>319</v>
      </c>
      <c r="C136" s="52"/>
      <c r="D136" s="52"/>
    </row>
    <row r="137" spans="2:4" x14ac:dyDescent="0.25">
      <c r="B137" s="52"/>
      <c r="C137" s="52" t="s">
        <v>315</v>
      </c>
      <c r="D137" s="52" t="s">
        <v>320</v>
      </c>
    </row>
    <row r="138" spans="2:4" x14ac:dyDescent="0.25">
      <c r="B138" s="52"/>
      <c r="C138" s="52"/>
      <c r="D138" s="52"/>
    </row>
    <row r="139" spans="2:4" x14ac:dyDescent="0.25">
      <c r="B139" s="52" t="s">
        <v>321</v>
      </c>
      <c r="C139" s="52"/>
      <c r="D139" s="52"/>
    </row>
    <row r="140" spans="2:4" ht="30" x14ac:dyDescent="0.25">
      <c r="B140" s="52"/>
      <c r="C140" s="52" t="s">
        <v>315</v>
      </c>
      <c r="D140" s="52" t="s">
        <v>322</v>
      </c>
    </row>
    <row r="141" spans="2:4" x14ac:dyDescent="0.25">
      <c r="B141" s="52"/>
      <c r="C141" s="52"/>
      <c r="D141" s="52"/>
    </row>
    <row r="142" spans="2:4" x14ac:dyDescent="0.25">
      <c r="B142" s="52" t="s">
        <v>323</v>
      </c>
      <c r="C142" s="52"/>
      <c r="D142" s="52"/>
    </row>
    <row r="143" spans="2:4" x14ac:dyDescent="0.25">
      <c r="B143" s="52"/>
      <c r="C143" s="52" t="s">
        <v>315</v>
      </c>
      <c r="D143" s="52" t="s">
        <v>324</v>
      </c>
    </row>
    <row r="144" spans="2:4" x14ac:dyDescent="0.25">
      <c r="B144" s="52"/>
      <c r="C144" s="52"/>
      <c r="D144" s="52"/>
    </row>
    <row r="145" spans="2:4" x14ac:dyDescent="0.25">
      <c r="B145" s="52" t="s">
        <v>325</v>
      </c>
      <c r="C145" s="52"/>
      <c r="D145" s="52"/>
    </row>
    <row r="146" spans="2:4" x14ac:dyDescent="0.25">
      <c r="B146" s="52"/>
      <c r="C146" s="48" t="s">
        <v>326</v>
      </c>
      <c r="D146" s="52"/>
    </row>
    <row r="147" spans="2:4" ht="30" x14ac:dyDescent="0.25">
      <c r="B147" s="52"/>
      <c r="C147" s="48" t="s">
        <v>327</v>
      </c>
      <c r="D147" s="52"/>
    </row>
    <row r="148" spans="2:4" x14ac:dyDescent="0.25">
      <c r="B148" s="52"/>
      <c r="C148" s="48" t="s">
        <v>328</v>
      </c>
      <c r="D148" s="52"/>
    </row>
    <row r="149" spans="2:4" x14ac:dyDescent="0.25">
      <c r="B149" s="52"/>
      <c r="C149" s="52"/>
      <c r="D149" s="52"/>
    </row>
    <row r="150" spans="2:4" x14ac:dyDescent="0.25">
      <c r="B150" s="52" t="s">
        <v>329</v>
      </c>
      <c r="C150" s="52"/>
      <c r="D150" s="52"/>
    </row>
    <row r="151" spans="2:4" ht="30" x14ac:dyDescent="0.25">
      <c r="B151" s="52"/>
      <c r="C151" s="48" t="s">
        <v>330</v>
      </c>
      <c r="D151" s="52"/>
    </row>
    <row r="152" spans="2:4" ht="30" x14ac:dyDescent="0.25">
      <c r="B152" s="52"/>
      <c r="C152" s="48" t="s">
        <v>331</v>
      </c>
      <c r="D152" s="52"/>
    </row>
    <row r="153" spans="2:4" x14ac:dyDescent="0.25">
      <c r="B153" s="52"/>
      <c r="C153" s="52"/>
      <c r="D153" s="52"/>
    </row>
    <row r="154" spans="2:4" x14ac:dyDescent="0.25">
      <c r="B154" t="s">
        <v>332</v>
      </c>
      <c r="C154" s="52"/>
      <c r="D154" s="52"/>
    </row>
    <row r="155" spans="2:4" x14ac:dyDescent="0.25">
      <c r="B155" s="52"/>
      <c r="C155" s="48" t="s">
        <v>333</v>
      </c>
      <c r="D155" s="52"/>
    </row>
    <row r="156" spans="2:4" x14ac:dyDescent="0.25">
      <c r="B156" s="52"/>
      <c r="C156" s="52"/>
      <c r="D156" s="52"/>
    </row>
    <row r="157" spans="2:4" x14ac:dyDescent="0.25">
      <c r="B157" t="s">
        <v>334</v>
      </c>
      <c r="C157" s="52"/>
      <c r="D157" s="52"/>
    </row>
    <row r="158" spans="2:4" ht="30" x14ac:dyDescent="0.25">
      <c r="C158" s="48" t="s">
        <v>335</v>
      </c>
      <c r="D158" s="52"/>
    </row>
    <row r="159" spans="2:4" x14ac:dyDescent="0.25">
      <c r="B159" s="52"/>
      <c r="C159" s="48" t="s">
        <v>336</v>
      </c>
      <c r="D159" s="52"/>
    </row>
    <row r="160" spans="2:4" ht="30" x14ac:dyDescent="0.25">
      <c r="B160" s="52"/>
      <c r="C160" s="48" t="s">
        <v>337</v>
      </c>
      <c r="D160" s="52"/>
    </row>
    <row r="161" spans="2:4" ht="30" x14ac:dyDescent="0.25">
      <c r="B161" s="52"/>
      <c r="C161" s="48" t="s">
        <v>338</v>
      </c>
      <c r="D161" s="52"/>
    </row>
    <row r="162" spans="2:4" x14ac:dyDescent="0.25">
      <c r="B162" s="52"/>
      <c r="C162" s="48" t="s">
        <v>339</v>
      </c>
      <c r="D162" s="52"/>
    </row>
    <row r="163" spans="2:4" x14ac:dyDescent="0.25">
      <c r="B163" s="52"/>
      <c r="C163" s="52"/>
      <c r="D163" s="52"/>
    </row>
    <row r="164" spans="2:4" x14ac:dyDescent="0.25">
      <c r="B164" t="s">
        <v>340</v>
      </c>
      <c r="C164" s="52"/>
      <c r="D164" s="52"/>
    </row>
    <row r="165" spans="2:4" x14ac:dyDescent="0.25">
      <c r="B165" s="52"/>
      <c r="C165" t="s">
        <v>341</v>
      </c>
      <c r="D165" s="52"/>
    </row>
    <row r="166" spans="2:4" x14ac:dyDescent="0.25">
      <c r="B166" s="52"/>
      <c r="C166" t="s">
        <v>342</v>
      </c>
      <c r="D166" s="52"/>
    </row>
    <row r="167" spans="2:4" x14ac:dyDescent="0.25">
      <c r="B167" s="52"/>
      <c r="C167" t="s">
        <v>343</v>
      </c>
      <c r="D167" s="52"/>
    </row>
    <row r="168" spans="2:4" x14ac:dyDescent="0.25">
      <c r="B168" s="52"/>
      <c r="C168" t="s">
        <v>344</v>
      </c>
      <c r="D168" s="52"/>
    </row>
    <row r="169" spans="2:4" x14ac:dyDescent="0.25">
      <c r="B169" s="52"/>
      <c r="C169" s="52"/>
      <c r="D169" s="52"/>
    </row>
    <row r="170" spans="2:4" x14ac:dyDescent="0.25">
      <c r="B170" t="s">
        <v>345</v>
      </c>
      <c r="C170" s="52"/>
      <c r="D170" s="52"/>
    </row>
    <row r="171" spans="2:4" x14ac:dyDescent="0.25">
      <c r="B171" s="52"/>
      <c r="C171" t="s">
        <v>346</v>
      </c>
      <c r="D171" s="52"/>
    </row>
    <row r="172" spans="2:4" x14ac:dyDescent="0.25">
      <c r="B172" s="52"/>
      <c r="D172" s="52"/>
    </row>
    <row r="173" spans="2:4" x14ac:dyDescent="0.25">
      <c r="B173" s="52" t="s">
        <v>348</v>
      </c>
      <c r="C173" s="52"/>
      <c r="D173" s="52"/>
    </row>
    <row r="174" spans="2:4" x14ac:dyDescent="0.25">
      <c r="B174" s="52"/>
      <c r="C174" t="s">
        <v>347</v>
      </c>
      <c r="D174" s="52"/>
    </row>
    <row r="175" spans="2:4" x14ac:dyDescent="0.25">
      <c r="B175" s="52"/>
      <c r="C175" t="s">
        <v>349</v>
      </c>
      <c r="D175" s="52"/>
    </row>
    <row r="176" spans="2:4" x14ac:dyDescent="0.25">
      <c r="B176" s="52"/>
      <c r="C176" s="52"/>
      <c r="D176" s="52"/>
    </row>
    <row r="177" spans="2:4" x14ac:dyDescent="0.25">
      <c r="B177" t="s">
        <v>350</v>
      </c>
      <c r="C177" s="52"/>
      <c r="D177" s="52"/>
    </row>
    <row r="178" spans="2:4" x14ac:dyDescent="0.25">
      <c r="B178" s="52"/>
      <c r="C178" t="s">
        <v>351</v>
      </c>
      <c r="D178" s="52"/>
    </row>
    <row r="179" spans="2:4" x14ac:dyDescent="0.25">
      <c r="B179" s="52"/>
      <c r="C179" s="52"/>
      <c r="D179" s="52"/>
    </row>
    <row r="180" spans="2:4" x14ac:dyDescent="0.25">
      <c r="B180" s="52" t="s">
        <v>352</v>
      </c>
      <c r="C180" s="52"/>
      <c r="D180" s="52"/>
    </row>
    <row r="181" spans="2:4" x14ac:dyDescent="0.25">
      <c r="B181" s="52"/>
      <c r="C181" s="52" t="s">
        <v>353</v>
      </c>
      <c r="D181" s="52"/>
    </row>
    <row r="182" spans="2:4" x14ac:dyDescent="0.25">
      <c r="B182" s="52"/>
      <c r="C182" s="52"/>
      <c r="D182" s="52"/>
    </row>
    <row r="183" spans="2:4" x14ac:dyDescent="0.25">
      <c r="B183" t="s">
        <v>354</v>
      </c>
    </row>
    <row r="184" spans="2:4" x14ac:dyDescent="0.25">
      <c r="B184" s="52"/>
      <c r="C184" t="s">
        <v>355</v>
      </c>
      <c r="D184" s="52"/>
    </row>
    <row r="185" spans="2:4" x14ac:dyDescent="0.25">
      <c r="B185" s="52"/>
      <c r="C185" s="52"/>
      <c r="D185" s="52" t="s">
        <v>356</v>
      </c>
    </row>
    <row r="186" spans="2:4" x14ac:dyDescent="0.25">
      <c r="B186" s="52"/>
      <c r="C186" s="52"/>
      <c r="D186" s="52"/>
    </row>
    <row r="187" spans="2:4" x14ac:dyDescent="0.25">
      <c r="B187" s="52"/>
      <c r="C187" s="52"/>
      <c r="D187" s="52"/>
    </row>
    <row r="188" spans="2:4" x14ac:dyDescent="0.25">
      <c r="B188" s="52"/>
      <c r="C188" s="52"/>
      <c r="D188" s="52"/>
    </row>
    <row r="189" spans="2:4" x14ac:dyDescent="0.25">
      <c r="B189" s="52"/>
      <c r="C189" s="52"/>
      <c r="D189" s="52"/>
    </row>
    <row r="190" spans="2:4" x14ac:dyDescent="0.25">
      <c r="B190" s="52"/>
      <c r="C190" s="52"/>
      <c r="D190" s="52"/>
    </row>
    <row r="191" spans="2:4" x14ac:dyDescent="0.25">
      <c r="B191" s="52"/>
      <c r="C191" s="52"/>
      <c r="D191" s="52"/>
    </row>
    <row r="192" spans="2:4" x14ac:dyDescent="0.25">
      <c r="B192" s="52"/>
      <c r="C192" s="52"/>
      <c r="D192" s="52"/>
    </row>
    <row r="193" spans="2:4" x14ac:dyDescent="0.25">
      <c r="B193" s="52"/>
      <c r="C193" s="52"/>
      <c r="D193" s="52"/>
    </row>
    <row r="194" spans="2:4" x14ac:dyDescent="0.25">
      <c r="B194" s="52"/>
      <c r="C194" s="52"/>
      <c r="D194" s="52"/>
    </row>
    <row r="195" spans="2:4" x14ac:dyDescent="0.25">
      <c r="B195" s="52"/>
      <c r="C195" s="52"/>
      <c r="D195" s="52"/>
    </row>
    <row r="196" spans="2:4" x14ac:dyDescent="0.25">
      <c r="B196" s="52"/>
      <c r="C196" s="52"/>
      <c r="D196" s="52"/>
    </row>
    <row r="197" spans="2:4" x14ac:dyDescent="0.25">
      <c r="B197" s="52"/>
      <c r="C197" s="52"/>
      <c r="D197" s="52"/>
    </row>
    <row r="198" spans="2:4" x14ac:dyDescent="0.25">
      <c r="B198" s="52"/>
      <c r="C198" s="52"/>
      <c r="D198" s="52"/>
    </row>
    <row r="199" spans="2:4" x14ac:dyDescent="0.25">
      <c r="B199" s="52"/>
      <c r="C199" s="52"/>
      <c r="D199" s="52"/>
    </row>
    <row r="200" spans="2:4" x14ac:dyDescent="0.25">
      <c r="B200" s="52"/>
      <c r="C200" s="52"/>
      <c r="D200" s="52"/>
    </row>
    <row r="201" spans="2:4" x14ac:dyDescent="0.25">
      <c r="B201" s="52"/>
      <c r="C201" s="52"/>
      <c r="D201" s="52"/>
    </row>
    <row r="202" spans="2:4" x14ac:dyDescent="0.25">
      <c r="B202" s="52"/>
      <c r="C202" s="52"/>
      <c r="D202" s="52"/>
    </row>
    <row r="203" spans="2:4" x14ac:dyDescent="0.25">
      <c r="B203" s="52"/>
      <c r="C203" s="52"/>
      <c r="D203" s="52"/>
    </row>
    <row r="204" spans="2:4" x14ac:dyDescent="0.25">
      <c r="B204" s="52"/>
      <c r="C204" s="52"/>
      <c r="D204" s="52"/>
    </row>
    <row r="205" spans="2:4" x14ac:dyDescent="0.25">
      <c r="B205" s="52"/>
      <c r="C205" s="52"/>
      <c r="D205" s="52"/>
    </row>
    <row r="206" spans="2:4" x14ac:dyDescent="0.25">
      <c r="B206" s="52"/>
      <c r="C206" s="52"/>
      <c r="D206" s="52"/>
    </row>
    <row r="207" spans="2:4" x14ac:dyDescent="0.25">
      <c r="B207" s="52"/>
      <c r="C207" s="52"/>
      <c r="D207" s="52"/>
    </row>
    <row r="208" spans="2:4" x14ac:dyDescent="0.25">
      <c r="B208" s="52"/>
      <c r="C208" s="52"/>
      <c r="D208" s="52"/>
    </row>
    <row r="209" spans="2:4" x14ac:dyDescent="0.25">
      <c r="B209" s="52"/>
      <c r="C209" s="52"/>
      <c r="D209" s="52"/>
    </row>
    <row r="210" spans="2:4" x14ac:dyDescent="0.25">
      <c r="B210" s="52"/>
      <c r="C210" s="52"/>
      <c r="D210" s="52"/>
    </row>
    <row r="211" spans="2:4" x14ac:dyDescent="0.25">
      <c r="B211" s="52"/>
      <c r="C211" s="52"/>
      <c r="D211" s="52"/>
    </row>
    <row r="212" spans="2:4" x14ac:dyDescent="0.25">
      <c r="B212" s="52"/>
      <c r="C212" s="52"/>
      <c r="D212" s="52"/>
    </row>
    <row r="213" spans="2:4" x14ac:dyDescent="0.25">
      <c r="B213" s="52"/>
      <c r="C213" s="52"/>
      <c r="D213" s="52"/>
    </row>
    <row r="214" spans="2:4" x14ac:dyDescent="0.25">
      <c r="B214" s="52"/>
      <c r="C214" s="52"/>
      <c r="D214" s="52"/>
    </row>
    <row r="215" spans="2:4" x14ac:dyDescent="0.25">
      <c r="B215" s="52"/>
      <c r="C215" s="52"/>
      <c r="D215" s="52"/>
    </row>
    <row r="216" spans="2:4" x14ac:dyDescent="0.25">
      <c r="B216" s="52"/>
      <c r="C216" s="52"/>
      <c r="D216" s="52"/>
    </row>
    <row r="217" spans="2:4" x14ac:dyDescent="0.25">
      <c r="B217" s="52"/>
      <c r="C217" s="52"/>
      <c r="D217" s="52"/>
    </row>
    <row r="218" spans="2:4" x14ac:dyDescent="0.25">
      <c r="B218" s="52"/>
      <c r="C218" s="52"/>
      <c r="D218" s="52"/>
    </row>
    <row r="219" spans="2:4" x14ac:dyDescent="0.25">
      <c r="B219" s="52"/>
      <c r="C219" s="52"/>
      <c r="D219" s="52"/>
    </row>
    <row r="220" spans="2:4" x14ac:dyDescent="0.25">
      <c r="B220" s="52"/>
      <c r="C220" s="52"/>
      <c r="D220" s="52"/>
    </row>
    <row r="221" spans="2:4" x14ac:dyDescent="0.25">
      <c r="B221" s="52"/>
      <c r="C221" s="52"/>
      <c r="D221" s="52"/>
    </row>
    <row r="222" spans="2:4" x14ac:dyDescent="0.25">
      <c r="B222" s="52"/>
      <c r="C222" s="52"/>
      <c r="D222" s="52"/>
    </row>
    <row r="223" spans="2:4" x14ac:dyDescent="0.25">
      <c r="B223" s="52"/>
      <c r="C223" s="52"/>
      <c r="D223" s="52"/>
    </row>
    <row r="224" spans="2:4" x14ac:dyDescent="0.25">
      <c r="B224" s="52"/>
      <c r="C224" s="52"/>
      <c r="D224" s="52"/>
    </row>
    <row r="225" spans="2:4" x14ac:dyDescent="0.25">
      <c r="B225" s="52"/>
      <c r="C225" s="52"/>
      <c r="D225" s="52"/>
    </row>
    <row r="226" spans="2:4" x14ac:dyDescent="0.25">
      <c r="B226" s="52"/>
      <c r="C226" s="52"/>
      <c r="D226" s="52"/>
    </row>
    <row r="227" spans="2:4" x14ac:dyDescent="0.25">
      <c r="B227" s="52"/>
      <c r="C227" s="52"/>
      <c r="D227" s="52"/>
    </row>
    <row r="228" spans="2:4" x14ac:dyDescent="0.25">
      <c r="B228" s="52"/>
      <c r="C228" s="52"/>
      <c r="D228" s="52"/>
    </row>
    <row r="229" spans="2:4" x14ac:dyDescent="0.25">
      <c r="B229" s="52"/>
      <c r="C229" s="52"/>
      <c r="D229" s="52"/>
    </row>
    <row r="230" spans="2:4" x14ac:dyDescent="0.25">
      <c r="B230" s="52"/>
      <c r="C230" s="52"/>
      <c r="D230" s="52"/>
    </row>
    <row r="231" spans="2:4" x14ac:dyDescent="0.25">
      <c r="B231" s="52"/>
      <c r="C231" s="52"/>
      <c r="D231" s="52"/>
    </row>
    <row r="232" spans="2:4" x14ac:dyDescent="0.25">
      <c r="B232" s="52"/>
      <c r="C232" s="52"/>
      <c r="D232" s="52"/>
    </row>
    <row r="233" spans="2:4" x14ac:dyDescent="0.25">
      <c r="B233" s="52"/>
      <c r="C233" s="52"/>
      <c r="D233" s="52"/>
    </row>
    <row r="234" spans="2:4" x14ac:dyDescent="0.25">
      <c r="B234" s="52"/>
      <c r="C234" s="52"/>
      <c r="D234" s="52"/>
    </row>
    <row r="235" spans="2:4" x14ac:dyDescent="0.25">
      <c r="B235" s="52"/>
      <c r="C235" s="52"/>
      <c r="D235" s="52"/>
    </row>
    <row r="236" spans="2:4" x14ac:dyDescent="0.25">
      <c r="B236" s="52"/>
      <c r="C236" s="52"/>
      <c r="D236" s="52"/>
    </row>
    <row r="237" spans="2:4" x14ac:dyDescent="0.25">
      <c r="B237" s="52"/>
      <c r="C237" s="52"/>
      <c r="D237" s="52"/>
    </row>
    <row r="238" spans="2:4" x14ac:dyDescent="0.25">
      <c r="B238" s="52"/>
      <c r="C238" s="52"/>
      <c r="D238" s="52"/>
    </row>
    <row r="239" spans="2:4" x14ac:dyDescent="0.25">
      <c r="B239" s="52"/>
      <c r="C239" s="52"/>
      <c r="D239" s="52"/>
    </row>
    <row r="240" spans="2:4" x14ac:dyDescent="0.25">
      <c r="B240" s="52"/>
      <c r="C240" s="52"/>
      <c r="D240" s="52"/>
    </row>
    <row r="241" spans="2:4" x14ac:dyDescent="0.25">
      <c r="B241" s="52"/>
      <c r="C241" s="52"/>
      <c r="D241" s="52"/>
    </row>
    <row r="242" spans="2:4" x14ac:dyDescent="0.25">
      <c r="B242" s="52"/>
      <c r="C242" s="52"/>
      <c r="D242" s="52"/>
    </row>
    <row r="243" spans="2:4" x14ac:dyDescent="0.25">
      <c r="B243" s="52"/>
      <c r="C243" s="52"/>
      <c r="D243" s="52"/>
    </row>
    <row r="244" spans="2:4" x14ac:dyDescent="0.25">
      <c r="B244" s="52"/>
      <c r="C244" s="52"/>
      <c r="D244" s="52"/>
    </row>
    <row r="245" spans="2:4" x14ac:dyDescent="0.25">
      <c r="B245" s="52"/>
      <c r="C245" s="52"/>
      <c r="D245" s="52"/>
    </row>
    <row r="246" spans="2:4" x14ac:dyDescent="0.25">
      <c r="B246" s="52"/>
      <c r="C246" s="52"/>
      <c r="D246" s="52"/>
    </row>
    <row r="247" spans="2:4" x14ac:dyDescent="0.25">
      <c r="B247" s="52"/>
      <c r="C247" s="52"/>
      <c r="D247" s="52"/>
    </row>
    <row r="248" spans="2:4" x14ac:dyDescent="0.25">
      <c r="B248" s="52"/>
      <c r="C248" s="52"/>
      <c r="D248" s="52"/>
    </row>
    <row r="249" spans="2:4" x14ac:dyDescent="0.25">
      <c r="B249" s="52"/>
      <c r="C249" s="52"/>
      <c r="D249" s="52"/>
    </row>
    <row r="250" spans="2:4" x14ac:dyDescent="0.25">
      <c r="B250" s="52"/>
      <c r="C250" s="52"/>
      <c r="D250" s="52"/>
    </row>
    <row r="251" spans="2:4" x14ac:dyDescent="0.25">
      <c r="B251" s="52"/>
      <c r="C251" s="52"/>
      <c r="D251" s="52"/>
    </row>
    <row r="252" spans="2:4" x14ac:dyDescent="0.25">
      <c r="B252" s="52"/>
      <c r="C252" s="52"/>
      <c r="D252" s="52"/>
    </row>
    <row r="253" spans="2:4" x14ac:dyDescent="0.25">
      <c r="B253" s="52"/>
      <c r="C253" s="52"/>
      <c r="D253" s="52"/>
    </row>
    <row r="254" spans="2:4" x14ac:dyDescent="0.25">
      <c r="B254" s="52"/>
      <c r="C254" s="52"/>
      <c r="D254" s="52"/>
    </row>
    <row r="255" spans="2:4" x14ac:dyDescent="0.25">
      <c r="B255" s="52"/>
      <c r="C255" s="52"/>
      <c r="D255" s="52"/>
    </row>
    <row r="256" spans="2:4" x14ac:dyDescent="0.25">
      <c r="B256" s="52"/>
      <c r="C256" s="52"/>
      <c r="D256" s="52"/>
    </row>
    <row r="257" spans="2:4" x14ac:dyDescent="0.25">
      <c r="B257" s="52"/>
      <c r="C257" s="52"/>
      <c r="D257" s="52"/>
    </row>
    <row r="258" spans="2:4" x14ac:dyDescent="0.25">
      <c r="B258" s="52"/>
      <c r="C258" s="52"/>
      <c r="D258" s="52"/>
    </row>
    <row r="259" spans="2:4" x14ac:dyDescent="0.25">
      <c r="B259" s="52"/>
      <c r="C259" s="52"/>
      <c r="D259" s="52"/>
    </row>
    <row r="260" spans="2:4" x14ac:dyDescent="0.25">
      <c r="B260" s="52"/>
      <c r="C260" s="52"/>
      <c r="D260" s="52"/>
    </row>
    <row r="261" spans="2:4" x14ac:dyDescent="0.25">
      <c r="B261" s="52"/>
      <c r="C261" s="52"/>
      <c r="D261" s="52"/>
    </row>
    <row r="262" spans="2:4" x14ac:dyDescent="0.25">
      <c r="B262" s="52"/>
      <c r="C262" s="52"/>
      <c r="D262" s="52"/>
    </row>
    <row r="263" spans="2:4" x14ac:dyDescent="0.25">
      <c r="B263" s="52"/>
      <c r="C263" s="52"/>
      <c r="D263" s="52"/>
    </row>
    <row r="264" spans="2:4" x14ac:dyDescent="0.25">
      <c r="B264" s="52"/>
      <c r="C264" s="52"/>
      <c r="D264" s="52"/>
    </row>
    <row r="265" spans="2:4" x14ac:dyDescent="0.25">
      <c r="B265" s="52"/>
      <c r="C265" s="52"/>
      <c r="D265" s="52"/>
    </row>
    <row r="266" spans="2:4" x14ac:dyDescent="0.25">
      <c r="B266" s="52"/>
      <c r="C266" s="52"/>
      <c r="D266" s="52"/>
    </row>
    <row r="267" spans="2:4" x14ac:dyDescent="0.25">
      <c r="B267" s="52"/>
      <c r="C267" s="52"/>
      <c r="D267" s="52"/>
    </row>
    <row r="268" spans="2:4" x14ac:dyDescent="0.25">
      <c r="B268" s="52"/>
      <c r="C268" s="52"/>
      <c r="D268" s="52"/>
    </row>
    <row r="269" spans="2:4" x14ac:dyDescent="0.25">
      <c r="B269" s="52"/>
      <c r="C269" s="52"/>
      <c r="D269" s="52"/>
    </row>
    <row r="270" spans="2:4" x14ac:dyDescent="0.25">
      <c r="B270" s="52"/>
      <c r="C270" s="52"/>
      <c r="D270" s="52"/>
    </row>
    <row r="271" spans="2:4" x14ac:dyDescent="0.25">
      <c r="B271" s="52"/>
      <c r="C271" s="52"/>
      <c r="D271" s="52"/>
    </row>
    <row r="272" spans="2:4" x14ac:dyDescent="0.25">
      <c r="B272" s="52"/>
      <c r="C272" s="52"/>
      <c r="D272" s="52"/>
    </row>
    <row r="273" spans="2:4" x14ac:dyDescent="0.25">
      <c r="B273" s="52"/>
      <c r="C273" s="52"/>
      <c r="D273" s="52"/>
    </row>
    <row r="274" spans="2:4" x14ac:dyDescent="0.25">
      <c r="B274" s="52"/>
      <c r="C274" s="52"/>
      <c r="D274" s="52"/>
    </row>
    <row r="275" spans="2:4" x14ac:dyDescent="0.25">
      <c r="B275" s="52"/>
      <c r="C275" s="52"/>
      <c r="D275" s="52"/>
    </row>
    <row r="276" spans="2:4" x14ac:dyDescent="0.25">
      <c r="B276" s="52"/>
      <c r="C276" s="52"/>
      <c r="D276" s="52"/>
    </row>
    <row r="277" spans="2:4" x14ac:dyDescent="0.25">
      <c r="B277" s="52"/>
      <c r="C277" s="52"/>
      <c r="D277" s="52"/>
    </row>
    <row r="278" spans="2:4" x14ac:dyDescent="0.25">
      <c r="B278" s="52"/>
      <c r="C278" s="52"/>
      <c r="D278" s="52"/>
    </row>
    <row r="279" spans="2:4" x14ac:dyDescent="0.25">
      <c r="B279" s="52"/>
      <c r="C279" s="52"/>
      <c r="D279" s="52"/>
    </row>
    <row r="280" spans="2:4" x14ac:dyDescent="0.25">
      <c r="B280" s="52"/>
      <c r="C280" s="52"/>
      <c r="D280" s="52"/>
    </row>
    <row r="281" spans="2:4" x14ac:dyDescent="0.25">
      <c r="B281" s="52"/>
      <c r="C281" s="52"/>
      <c r="D281" s="52"/>
    </row>
    <row r="282" spans="2:4" x14ac:dyDescent="0.25">
      <c r="B282" s="52"/>
      <c r="C282" s="52"/>
      <c r="D282" s="52"/>
    </row>
    <row r="283" spans="2:4" x14ac:dyDescent="0.25">
      <c r="B283" s="52"/>
      <c r="C283" s="52"/>
      <c r="D283" s="52"/>
    </row>
    <row r="284" spans="2:4" x14ac:dyDescent="0.25">
      <c r="B284" s="52"/>
      <c r="C284" s="52"/>
      <c r="D284" s="52"/>
    </row>
    <row r="285" spans="2:4" x14ac:dyDescent="0.25">
      <c r="B285" s="52"/>
      <c r="C285" s="52"/>
      <c r="D285" s="52"/>
    </row>
    <row r="286" spans="2:4" x14ac:dyDescent="0.25">
      <c r="B286" s="52"/>
      <c r="C286" s="52"/>
      <c r="D286" s="52"/>
    </row>
    <row r="287" spans="2:4" x14ac:dyDescent="0.25">
      <c r="B287" s="52"/>
      <c r="C287" s="52"/>
      <c r="D287" s="52"/>
    </row>
    <row r="288" spans="2:4" x14ac:dyDescent="0.25">
      <c r="B288" s="52"/>
      <c r="C288" s="52"/>
      <c r="D288" s="52"/>
    </row>
    <row r="289" spans="2:4" x14ac:dyDescent="0.25">
      <c r="B289" s="52"/>
      <c r="C289" s="52"/>
      <c r="D289" s="52"/>
    </row>
    <row r="290" spans="2:4" x14ac:dyDescent="0.25">
      <c r="B290" s="52"/>
      <c r="C290" s="52"/>
      <c r="D290" s="52"/>
    </row>
    <row r="291" spans="2:4" x14ac:dyDescent="0.25">
      <c r="B291" s="52"/>
      <c r="C291" s="52"/>
      <c r="D291" s="52"/>
    </row>
    <row r="292" spans="2:4" x14ac:dyDescent="0.25">
      <c r="B292" s="52"/>
      <c r="C292" s="52"/>
      <c r="D292" s="52"/>
    </row>
    <row r="293" spans="2:4" x14ac:dyDescent="0.25">
      <c r="B293" s="52"/>
      <c r="C293" s="52"/>
      <c r="D293" s="52"/>
    </row>
    <row r="294" spans="2:4" x14ac:dyDescent="0.25">
      <c r="B294" s="52"/>
      <c r="C294" s="52"/>
      <c r="D294" s="52"/>
    </row>
    <row r="295" spans="2:4" x14ac:dyDescent="0.25">
      <c r="B295" s="52"/>
      <c r="C295" s="52"/>
      <c r="D295" s="52"/>
    </row>
    <row r="296" spans="2:4" x14ac:dyDescent="0.25">
      <c r="B296" s="52"/>
      <c r="C296" s="52"/>
      <c r="D296" s="52"/>
    </row>
    <row r="297" spans="2:4" x14ac:dyDescent="0.25">
      <c r="B297" s="52"/>
      <c r="C297" s="52"/>
      <c r="D297" s="52"/>
    </row>
    <row r="298" spans="2:4" x14ac:dyDescent="0.25">
      <c r="B298" s="52"/>
      <c r="C298" s="52"/>
      <c r="D298" s="52"/>
    </row>
    <row r="299" spans="2:4" x14ac:dyDescent="0.25">
      <c r="B299" s="52"/>
      <c r="C299" s="52"/>
      <c r="D299" s="52"/>
    </row>
    <row r="300" spans="2:4" x14ac:dyDescent="0.25">
      <c r="B300" s="52"/>
      <c r="C300" s="52"/>
      <c r="D300" s="52"/>
    </row>
    <row r="301" spans="2:4" x14ac:dyDescent="0.25">
      <c r="B301" s="52"/>
      <c r="C301" s="52"/>
      <c r="D301" s="52"/>
    </row>
    <row r="302" spans="2:4" x14ac:dyDescent="0.25">
      <c r="B302" s="52"/>
      <c r="C302" s="52"/>
      <c r="D302" s="52"/>
    </row>
    <row r="303" spans="2:4" x14ac:dyDescent="0.25">
      <c r="B303" s="52"/>
      <c r="C303" s="52"/>
      <c r="D303" s="52"/>
    </row>
    <row r="304" spans="2:4" x14ac:dyDescent="0.25">
      <c r="B304" s="52"/>
      <c r="C304" s="52"/>
      <c r="D304" s="52"/>
    </row>
    <row r="305" spans="2:4" x14ac:dyDescent="0.25">
      <c r="B305" s="52"/>
      <c r="C305" s="52"/>
      <c r="D305" s="52"/>
    </row>
    <row r="306" spans="2:4" x14ac:dyDescent="0.25">
      <c r="B306" s="52"/>
      <c r="C306" s="52"/>
      <c r="D306" s="52"/>
    </row>
    <row r="307" spans="2:4" x14ac:dyDescent="0.25">
      <c r="B307" s="52"/>
      <c r="C307" s="52"/>
      <c r="D307" s="52"/>
    </row>
    <row r="308" spans="2:4" x14ac:dyDescent="0.25">
      <c r="B308" s="52"/>
      <c r="C308" s="52"/>
      <c r="D308" s="52"/>
    </row>
    <row r="309" spans="2:4" x14ac:dyDescent="0.25">
      <c r="B309" s="52"/>
      <c r="C309" s="52"/>
      <c r="D309" s="52"/>
    </row>
    <row r="310" spans="2:4" x14ac:dyDescent="0.25">
      <c r="B310" s="52"/>
      <c r="C310" s="52"/>
      <c r="D310" s="52"/>
    </row>
    <row r="311" spans="2:4" x14ac:dyDescent="0.25">
      <c r="B311" s="52"/>
      <c r="C311" s="52"/>
      <c r="D311" s="52"/>
    </row>
    <row r="312" spans="2:4" x14ac:dyDescent="0.25">
      <c r="B312" s="52"/>
      <c r="C312" s="52"/>
      <c r="D312" s="52"/>
    </row>
    <row r="313" spans="2:4" x14ac:dyDescent="0.25">
      <c r="B313" s="52"/>
      <c r="C313" s="52"/>
      <c r="D313" s="52"/>
    </row>
    <row r="314" spans="2:4" x14ac:dyDescent="0.25">
      <c r="B314" s="52"/>
      <c r="C314" s="52"/>
      <c r="D314" s="52"/>
    </row>
    <row r="315" spans="2:4" x14ac:dyDescent="0.25">
      <c r="B315" s="52"/>
      <c r="C315" s="52"/>
      <c r="D315" s="52"/>
    </row>
    <row r="316" spans="2:4" x14ac:dyDescent="0.25">
      <c r="B316" s="52"/>
      <c r="C316" s="52"/>
      <c r="D316" s="52"/>
    </row>
    <row r="317" spans="2:4" x14ac:dyDescent="0.25">
      <c r="B317" s="52"/>
      <c r="C317" s="52"/>
      <c r="D317" s="52"/>
    </row>
    <row r="318" spans="2:4" x14ac:dyDescent="0.25">
      <c r="B318" s="52"/>
      <c r="C318" s="52"/>
      <c r="D318" s="52"/>
    </row>
    <row r="319" spans="2:4" x14ac:dyDescent="0.25">
      <c r="B319" s="52"/>
      <c r="C319" s="52"/>
      <c r="D319" s="52"/>
    </row>
    <row r="320" spans="2:4" x14ac:dyDescent="0.25">
      <c r="B320" s="52"/>
      <c r="C320" s="52"/>
      <c r="D320" s="52"/>
    </row>
    <row r="321" spans="2:4" x14ac:dyDescent="0.25">
      <c r="B321" s="52"/>
      <c r="C321" s="52"/>
      <c r="D321" s="52"/>
    </row>
    <row r="322" spans="2:4" x14ac:dyDescent="0.25">
      <c r="B322" s="52"/>
      <c r="C322" s="52"/>
      <c r="D322" s="52"/>
    </row>
    <row r="323" spans="2:4" x14ac:dyDescent="0.25">
      <c r="B323" s="52"/>
      <c r="C323" s="52"/>
      <c r="D323" s="52"/>
    </row>
    <row r="324" spans="2:4" x14ac:dyDescent="0.25">
      <c r="B324" s="52"/>
      <c r="C324" s="52"/>
      <c r="D324" s="52"/>
    </row>
    <row r="325" spans="2:4" x14ac:dyDescent="0.25">
      <c r="B325" s="52"/>
      <c r="C325" s="52"/>
      <c r="D325" s="52"/>
    </row>
    <row r="326" spans="2:4" x14ac:dyDescent="0.25">
      <c r="B326" s="52"/>
      <c r="C326" s="52"/>
      <c r="D326" s="52"/>
    </row>
    <row r="327" spans="2:4" x14ac:dyDescent="0.25">
      <c r="B327" s="52"/>
      <c r="C327" s="52"/>
      <c r="D327" s="52"/>
    </row>
    <row r="328" spans="2:4" x14ac:dyDescent="0.25">
      <c r="B328" s="52"/>
      <c r="C328" s="52"/>
      <c r="D328" s="52"/>
    </row>
    <row r="329" spans="2:4" x14ac:dyDescent="0.25">
      <c r="B329" s="52"/>
      <c r="C329" s="52"/>
      <c r="D329" s="52"/>
    </row>
    <row r="330" spans="2:4" x14ac:dyDescent="0.25">
      <c r="B330" s="52"/>
      <c r="C330" s="52"/>
      <c r="D330" s="52"/>
    </row>
    <row r="331" spans="2:4" x14ac:dyDescent="0.25">
      <c r="B331" s="52"/>
      <c r="C331" s="52"/>
      <c r="D331" s="52"/>
    </row>
    <row r="332" spans="2:4" x14ac:dyDescent="0.25">
      <c r="B332" s="52"/>
      <c r="C332" s="52"/>
      <c r="D332" s="52"/>
    </row>
    <row r="333" spans="2:4" x14ac:dyDescent="0.25">
      <c r="B333" s="52"/>
      <c r="C333" s="52"/>
      <c r="D333" s="52"/>
    </row>
    <row r="334" spans="2:4" x14ac:dyDescent="0.25">
      <c r="B334" s="52"/>
      <c r="C334" s="52"/>
      <c r="D334" s="52"/>
    </row>
    <row r="335" spans="2:4" x14ac:dyDescent="0.25">
      <c r="B335" s="52"/>
      <c r="C335" s="52"/>
      <c r="D335" s="52"/>
    </row>
    <row r="336" spans="2:4" x14ac:dyDescent="0.25">
      <c r="B336" s="52"/>
      <c r="C336" s="52"/>
      <c r="D336" s="52"/>
    </row>
    <row r="337" spans="2:4" x14ac:dyDescent="0.25">
      <c r="B337" s="52"/>
      <c r="C337" s="52"/>
      <c r="D337" s="52"/>
    </row>
    <row r="338" spans="2:4" x14ac:dyDescent="0.25">
      <c r="B338" s="52"/>
      <c r="C338" s="52"/>
      <c r="D338" s="52"/>
    </row>
    <row r="339" spans="2:4" x14ac:dyDescent="0.25">
      <c r="B339" s="52"/>
      <c r="C339" s="52"/>
      <c r="D339" s="52"/>
    </row>
    <row r="340" spans="2:4" x14ac:dyDescent="0.25">
      <c r="B340" s="52"/>
      <c r="C340" s="52"/>
      <c r="D340" s="52"/>
    </row>
    <row r="341" spans="2:4" x14ac:dyDescent="0.25">
      <c r="B341" s="52"/>
      <c r="C341" s="52"/>
      <c r="D341" s="52"/>
    </row>
    <row r="342" spans="2:4" x14ac:dyDescent="0.25">
      <c r="B342" s="52"/>
      <c r="C342" s="52"/>
      <c r="D342" s="52"/>
    </row>
    <row r="343" spans="2:4" x14ac:dyDescent="0.25">
      <c r="B343" s="52"/>
      <c r="C343" s="52"/>
      <c r="D343" s="52"/>
    </row>
    <row r="344" spans="2:4" x14ac:dyDescent="0.25">
      <c r="B344" s="52"/>
      <c r="C344" s="52"/>
      <c r="D344" s="52"/>
    </row>
    <row r="345" spans="2:4" x14ac:dyDescent="0.25">
      <c r="B345" s="52"/>
      <c r="C345" s="52"/>
      <c r="D345" s="52"/>
    </row>
    <row r="346" spans="2:4" x14ac:dyDescent="0.25">
      <c r="B346" s="52"/>
      <c r="C346" s="52"/>
      <c r="D346" s="52"/>
    </row>
    <row r="347" spans="2:4" x14ac:dyDescent="0.25">
      <c r="B347" s="52"/>
      <c r="C347" s="52"/>
      <c r="D347" s="52"/>
    </row>
    <row r="348" spans="2:4" x14ac:dyDescent="0.25">
      <c r="B348" s="52"/>
      <c r="C348" s="52"/>
      <c r="D348" s="52"/>
    </row>
    <row r="349" spans="2:4" x14ac:dyDescent="0.25">
      <c r="B349" s="52"/>
      <c r="C349" s="52"/>
      <c r="D349" s="52"/>
    </row>
    <row r="350" spans="2:4" x14ac:dyDescent="0.25">
      <c r="B350" s="52"/>
      <c r="C350" s="52"/>
      <c r="D350" s="52"/>
    </row>
    <row r="351" spans="2:4" x14ac:dyDescent="0.25">
      <c r="B351" s="52"/>
      <c r="C351" s="52"/>
      <c r="D351" s="52"/>
    </row>
    <row r="352" spans="2:4" x14ac:dyDescent="0.25">
      <c r="B352" s="52"/>
      <c r="C352" s="52"/>
      <c r="D352" s="52"/>
    </row>
    <row r="353" spans="2:4" x14ac:dyDescent="0.25">
      <c r="B353" s="52"/>
      <c r="C353" s="52"/>
      <c r="D353" s="52"/>
    </row>
    <row r="354" spans="2:4" x14ac:dyDescent="0.25">
      <c r="B354" s="52"/>
      <c r="C354" s="52"/>
      <c r="D354" s="52"/>
    </row>
    <row r="355" spans="2:4" x14ac:dyDescent="0.25">
      <c r="B355" s="52"/>
      <c r="C355" s="52"/>
      <c r="D355" s="52"/>
    </row>
    <row r="356" spans="2:4" x14ac:dyDescent="0.25">
      <c r="B356" s="52"/>
      <c r="C356" s="52"/>
      <c r="D356" s="52"/>
    </row>
    <row r="357" spans="2:4" x14ac:dyDescent="0.25">
      <c r="B357" s="52"/>
      <c r="C357" s="52"/>
      <c r="D357" s="52"/>
    </row>
    <row r="358" spans="2:4" x14ac:dyDescent="0.25">
      <c r="B358" s="52"/>
      <c r="C358" s="52"/>
      <c r="D358" s="52"/>
    </row>
    <row r="359" spans="2:4" x14ac:dyDescent="0.25">
      <c r="B359" s="52"/>
      <c r="C359" s="52"/>
      <c r="D359" s="52"/>
    </row>
    <row r="360" spans="2:4" x14ac:dyDescent="0.25">
      <c r="B360" s="52"/>
      <c r="C360" s="52"/>
      <c r="D360" s="52"/>
    </row>
    <row r="361" spans="2:4" x14ac:dyDescent="0.25">
      <c r="B361" s="52"/>
      <c r="C361" s="52"/>
      <c r="D361" s="52"/>
    </row>
    <row r="362" spans="2:4" x14ac:dyDescent="0.25">
      <c r="B362" s="52"/>
      <c r="C362" s="52"/>
      <c r="D362" s="52"/>
    </row>
    <row r="363" spans="2:4" x14ac:dyDescent="0.25">
      <c r="B363" s="52"/>
      <c r="C363" s="52"/>
      <c r="D363" s="52"/>
    </row>
    <row r="364" spans="2:4" x14ac:dyDescent="0.25">
      <c r="B364" s="52"/>
      <c r="C364" s="52"/>
      <c r="D364" s="52"/>
    </row>
    <row r="365" spans="2:4" x14ac:dyDescent="0.25">
      <c r="B365" s="52"/>
      <c r="C365" s="52"/>
      <c r="D365" s="52"/>
    </row>
    <row r="366" spans="2:4" x14ac:dyDescent="0.25">
      <c r="B366" s="52"/>
      <c r="C366" s="52"/>
      <c r="D366" s="52"/>
    </row>
    <row r="367" spans="2:4" x14ac:dyDescent="0.25">
      <c r="B367" s="52"/>
      <c r="C367" s="52"/>
      <c r="D367" s="52"/>
    </row>
    <row r="368" spans="2:4" x14ac:dyDescent="0.25">
      <c r="B368" s="52"/>
      <c r="C368" s="52"/>
      <c r="D368" s="52"/>
    </row>
    <row r="369" spans="2:4" x14ac:dyDescent="0.25">
      <c r="B369" s="52"/>
      <c r="C369" s="52"/>
      <c r="D369" s="52"/>
    </row>
    <row r="370" spans="2:4" x14ac:dyDescent="0.25">
      <c r="B370" s="52"/>
      <c r="C370" s="52"/>
      <c r="D370" s="52"/>
    </row>
    <row r="371" spans="2:4" x14ac:dyDescent="0.25">
      <c r="B371" s="52"/>
      <c r="C371" s="52"/>
      <c r="D371" s="52"/>
    </row>
    <row r="372" spans="2:4" x14ac:dyDescent="0.25">
      <c r="B372" s="52"/>
      <c r="C372" s="52"/>
      <c r="D372" s="52"/>
    </row>
    <row r="373" spans="2:4" x14ac:dyDescent="0.25">
      <c r="B373" s="52"/>
      <c r="C373" s="52"/>
      <c r="D373" s="52"/>
    </row>
    <row r="374" spans="2:4" x14ac:dyDescent="0.25">
      <c r="B374" s="52"/>
      <c r="C374" s="52"/>
      <c r="D374" s="52"/>
    </row>
    <row r="375" spans="2:4" x14ac:dyDescent="0.25">
      <c r="B375" s="52"/>
      <c r="C375" s="52"/>
      <c r="D375" s="52"/>
    </row>
    <row r="376" spans="2:4" x14ac:dyDescent="0.25">
      <c r="B376" s="52"/>
      <c r="C376" s="52"/>
      <c r="D376" s="52"/>
    </row>
    <row r="377" spans="2:4" x14ac:dyDescent="0.25">
      <c r="B377" s="52"/>
      <c r="C377" s="52"/>
      <c r="D377" s="52"/>
    </row>
    <row r="378" spans="2:4" x14ac:dyDescent="0.25">
      <c r="B378" s="52"/>
      <c r="C378" s="52"/>
      <c r="D378" s="52"/>
    </row>
    <row r="379" spans="2:4" x14ac:dyDescent="0.25">
      <c r="B379" s="52"/>
      <c r="C379" s="52"/>
      <c r="D379" s="52"/>
    </row>
    <row r="380" spans="2:4" x14ac:dyDescent="0.25">
      <c r="B380" s="52"/>
      <c r="C380" s="52"/>
      <c r="D380" s="52"/>
    </row>
    <row r="381" spans="2:4" x14ac:dyDescent="0.25">
      <c r="B381" s="52"/>
      <c r="C381" s="52"/>
      <c r="D381" s="52"/>
    </row>
    <row r="382" spans="2:4" x14ac:dyDescent="0.25">
      <c r="B382" s="52"/>
      <c r="C382" s="52"/>
      <c r="D382" s="52"/>
    </row>
    <row r="383" spans="2:4" x14ac:dyDescent="0.25">
      <c r="B383" s="52"/>
      <c r="C383" s="52"/>
      <c r="D383" s="52"/>
    </row>
    <row r="384" spans="2:4" x14ac:dyDescent="0.25">
      <c r="B384" s="52"/>
      <c r="C384" s="52"/>
      <c r="D384" s="52"/>
    </row>
    <row r="385" spans="2:4" x14ac:dyDescent="0.25">
      <c r="B385" s="52"/>
      <c r="C385" s="52"/>
      <c r="D385" s="52"/>
    </row>
    <row r="386" spans="2:4" x14ac:dyDescent="0.25">
      <c r="B386" s="52"/>
      <c r="C386" s="52"/>
      <c r="D386" s="52"/>
    </row>
    <row r="387" spans="2:4" x14ac:dyDescent="0.25">
      <c r="B387" s="52"/>
      <c r="C387" s="52"/>
      <c r="D387" s="52"/>
    </row>
    <row r="388" spans="2:4" x14ac:dyDescent="0.25">
      <c r="B388" s="52"/>
      <c r="C388" s="52"/>
      <c r="D388" s="52"/>
    </row>
    <row r="389" spans="2:4" x14ac:dyDescent="0.25">
      <c r="B389" s="52"/>
      <c r="C389" s="52"/>
      <c r="D389" s="52"/>
    </row>
    <row r="390" spans="2:4" x14ac:dyDescent="0.25">
      <c r="B390" s="52"/>
      <c r="C390" s="52"/>
      <c r="D390" s="52"/>
    </row>
    <row r="391" spans="2:4" x14ac:dyDescent="0.25">
      <c r="B391" s="52"/>
      <c r="C391" s="52"/>
      <c r="D391" s="52"/>
    </row>
    <row r="392" spans="2:4" x14ac:dyDescent="0.25">
      <c r="B392" s="52"/>
      <c r="C392" s="52"/>
      <c r="D392" s="52"/>
    </row>
    <row r="393" spans="2:4" x14ac:dyDescent="0.25">
      <c r="B393" s="52"/>
      <c r="C393" s="52"/>
      <c r="D393" s="52"/>
    </row>
    <row r="394" spans="2:4" x14ac:dyDescent="0.25">
      <c r="B394" s="52"/>
      <c r="C394" s="52"/>
      <c r="D394" s="52"/>
    </row>
    <row r="395" spans="2:4" x14ac:dyDescent="0.25">
      <c r="B395" s="52"/>
      <c r="C395" s="52"/>
      <c r="D395" s="52"/>
    </row>
    <row r="396" spans="2:4" x14ac:dyDescent="0.25">
      <c r="B396" s="52"/>
      <c r="C396" s="52"/>
      <c r="D396" s="52"/>
    </row>
    <row r="397" spans="2:4" x14ac:dyDescent="0.25">
      <c r="B397" s="52"/>
      <c r="C397" s="52"/>
      <c r="D397" s="52"/>
    </row>
    <row r="398" spans="2:4" x14ac:dyDescent="0.25">
      <c r="B398" s="52"/>
      <c r="C398" s="52"/>
      <c r="D398" s="52"/>
    </row>
    <row r="399" spans="2:4" x14ac:dyDescent="0.25">
      <c r="B399" s="52"/>
      <c r="C399" s="52"/>
      <c r="D399" s="52"/>
    </row>
    <row r="400" spans="2:4" x14ac:dyDescent="0.25">
      <c r="B400" s="52"/>
      <c r="C400" s="52"/>
      <c r="D400" s="52"/>
    </row>
    <row r="401" spans="2:4" x14ac:dyDescent="0.25">
      <c r="B401" s="52"/>
      <c r="C401" s="52"/>
      <c r="D401" s="52"/>
    </row>
    <row r="402" spans="2:4" x14ac:dyDescent="0.25">
      <c r="B402" s="52"/>
      <c r="C402" s="52"/>
      <c r="D402" s="52"/>
    </row>
    <row r="403" spans="2:4" x14ac:dyDescent="0.25">
      <c r="B403" s="52"/>
      <c r="C403" s="52"/>
      <c r="D403" s="52"/>
    </row>
    <row r="404" spans="2:4" x14ac:dyDescent="0.25">
      <c r="B404" s="52"/>
      <c r="C404" s="52"/>
      <c r="D404" s="52"/>
    </row>
    <row r="405" spans="2:4" x14ac:dyDescent="0.25">
      <c r="B405" s="52"/>
      <c r="C405" s="52"/>
      <c r="D405" s="52"/>
    </row>
    <row r="406" spans="2:4" x14ac:dyDescent="0.25">
      <c r="B406" s="52"/>
      <c r="C406" s="52"/>
      <c r="D406" s="52"/>
    </row>
    <row r="407" spans="2:4" x14ac:dyDescent="0.25">
      <c r="B407" s="52"/>
      <c r="C407" s="52"/>
      <c r="D407" s="52"/>
    </row>
    <row r="408" spans="2:4" x14ac:dyDescent="0.25">
      <c r="B408" s="52"/>
      <c r="C408" s="52"/>
      <c r="D408" s="52"/>
    </row>
    <row r="409" spans="2:4" x14ac:dyDescent="0.25">
      <c r="B409" s="52"/>
      <c r="C409" s="52"/>
      <c r="D409" s="52"/>
    </row>
    <row r="410" spans="2:4" x14ac:dyDescent="0.25">
      <c r="B410" s="52"/>
      <c r="C410" s="52"/>
      <c r="D410" s="52"/>
    </row>
    <row r="411" spans="2:4" x14ac:dyDescent="0.25">
      <c r="B411" s="52"/>
      <c r="C411" s="52"/>
      <c r="D411" s="52"/>
    </row>
    <row r="412" spans="2:4" x14ac:dyDescent="0.25">
      <c r="B412" s="52"/>
      <c r="C412" s="52"/>
      <c r="D412" s="52"/>
    </row>
    <row r="413" spans="2:4" x14ac:dyDescent="0.25">
      <c r="B413" s="52"/>
      <c r="C413" s="52"/>
      <c r="D413" s="52"/>
    </row>
    <row r="414" spans="2:4" x14ac:dyDescent="0.25">
      <c r="B414" s="52"/>
      <c r="C414" s="52"/>
      <c r="D414" s="52"/>
    </row>
    <row r="415" spans="2:4" x14ac:dyDescent="0.25">
      <c r="B415" s="52"/>
      <c r="C415" s="52"/>
      <c r="D415" s="52"/>
    </row>
    <row r="416" spans="2:4" x14ac:dyDescent="0.25">
      <c r="B416" s="52"/>
      <c r="C416" s="52"/>
      <c r="D416" s="52"/>
    </row>
    <row r="417" spans="2:4" x14ac:dyDescent="0.25">
      <c r="B417" s="52"/>
      <c r="C417" s="52"/>
      <c r="D417" s="52"/>
    </row>
    <row r="418" spans="2:4" x14ac:dyDescent="0.25">
      <c r="B418" s="52"/>
      <c r="C418" s="52"/>
      <c r="D418" s="52"/>
    </row>
    <row r="419" spans="2:4" x14ac:dyDescent="0.25">
      <c r="B419" s="52"/>
      <c r="C419" s="52"/>
      <c r="D419" s="52"/>
    </row>
    <row r="420" spans="2:4" x14ac:dyDescent="0.25">
      <c r="B420" s="52"/>
      <c r="C420" s="52"/>
      <c r="D420" s="52"/>
    </row>
    <row r="421" spans="2:4" x14ac:dyDescent="0.25">
      <c r="B421" s="52"/>
      <c r="C421" s="52"/>
      <c r="D421" s="52"/>
    </row>
    <row r="422" spans="2:4" x14ac:dyDescent="0.25">
      <c r="B422" s="52"/>
      <c r="C422" s="52"/>
      <c r="D422" s="52"/>
    </row>
    <row r="423" spans="2:4" x14ac:dyDescent="0.25">
      <c r="B423" s="52"/>
      <c r="C423" s="52"/>
      <c r="D423" s="52"/>
    </row>
    <row r="424" spans="2:4" x14ac:dyDescent="0.25">
      <c r="B424" s="52"/>
      <c r="C424" s="52"/>
      <c r="D424" s="52"/>
    </row>
    <row r="425" spans="2:4" x14ac:dyDescent="0.25">
      <c r="B425" s="52"/>
      <c r="C425" s="52"/>
      <c r="D425" s="52"/>
    </row>
    <row r="426" spans="2:4" x14ac:dyDescent="0.25">
      <c r="B426" s="52"/>
      <c r="C426" s="52"/>
      <c r="D426" s="52"/>
    </row>
    <row r="427" spans="2:4" x14ac:dyDescent="0.25">
      <c r="B427" s="52"/>
      <c r="C427" s="52"/>
      <c r="D427" s="52"/>
    </row>
    <row r="428" spans="2:4" x14ac:dyDescent="0.25">
      <c r="B428" s="52"/>
      <c r="C428" s="52"/>
      <c r="D428" s="52"/>
    </row>
    <row r="429" spans="2:4" x14ac:dyDescent="0.25">
      <c r="B429" s="52"/>
      <c r="C429" s="52"/>
      <c r="D429" s="52"/>
    </row>
    <row r="430" spans="2:4" x14ac:dyDescent="0.25">
      <c r="B430" s="52"/>
      <c r="C430" s="52"/>
      <c r="D430" s="52"/>
    </row>
    <row r="431" spans="2:4" x14ac:dyDescent="0.25">
      <c r="B431" s="52"/>
      <c r="C431" s="52"/>
      <c r="D431" s="52"/>
    </row>
    <row r="432" spans="2:4" x14ac:dyDescent="0.25">
      <c r="B432" s="52"/>
      <c r="C432" s="52"/>
      <c r="D432" s="52"/>
    </row>
    <row r="433" spans="2:4" x14ac:dyDescent="0.25">
      <c r="B433" s="52"/>
      <c r="C433" s="52"/>
      <c r="D433" s="52"/>
    </row>
    <row r="434" spans="2:4" x14ac:dyDescent="0.25">
      <c r="B434" s="52"/>
      <c r="C434" s="52"/>
      <c r="D434" s="52"/>
    </row>
    <row r="435" spans="2:4" x14ac:dyDescent="0.25">
      <c r="B435" s="52"/>
      <c r="C435" s="52"/>
      <c r="D435" s="52"/>
    </row>
    <row r="436" spans="2:4" x14ac:dyDescent="0.25">
      <c r="B436" s="52"/>
      <c r="C436" s="52"/>
      <c r="D436" s="52"/>
    </row>
    <row r="437" spans="2:4" x14ac:dyDescent="0.25">
      <c r="B437" s="52"/>
      <c r="C437" s="52"/>
      <c r="D437" s="52"/>
    </row>
    <row r="438" spans="2:4" x14ac:dyDescent="0.25">
      <c r="B438" s="52"/>
      <c r="C438" s="52"/>
      <c r="D438" s="52"/>
    </row>
    <row r="439" spans="2:4" x14ac:dyDescent="0.25">
      <c r="B439" s="52"/>
      <c r="C439" s="52"/>
      <c r="D439" s="52"/>
    </row>
    <row r="440" spans="2:4" x14ac:dyDescent="0.25">
      <c r="B440" s="52"/>
      <c r="C440" s="52"/>
      <c r="D440" s="52"/>
    </row>
    <row r="441" spans="2:4" x14ac:dyDescent="0.25">
      <c r="B441" s="52"/>
      <c r="C441" s="52"/>
      <c r="D441" s="52"/>
    </row>
    <row r="442" spans="2:4" x14ac:dyDescent="0.25">
      <c r="B442" s="52"/>
      <c r="C442" s="52"/>
      <c r="D442" s="52"/>
    </row>
    <row r="443" spans="2:4" x14ac:dyDescent="0.25">
      <c r="B443" s="52"/>
      <c r="C443" s="52"/>
      <c r="D443" s="52"/>
    </row>
    <row r="444" spans="2:4" x14ac:dyDescent="0.25">
      <c r="B444" s="52"/>
      <c r="C444" s="52"/>
      <c r="D444" s="52"/>
    </row>
    <row r="445" spans="2:4" x14ac:dyDescent="0.25">
      <c r="B445" s="52"/>
      <c r="C445" s="52"/>
      <c r="D445" s="52"/>
    </row>
    <row r="446" spans="2:4" x14ac:dyDescent="0.25">
      <c r="B446" s="52"/>
      <c r="C446" s="52"/>
      <c r="D446" s="52"/>
    </row>
    <row r="447" spans="2:4" x14ac:dyDescent="0.25">
      <c r="B447" s="52"/>
      <c r="C447" s="52"/>
      <c r="D447" s="52"/>
    </row>
    <row r="448" spans="2:4" x14ac:dyDescent="0.25">
      <c r="B448" s="52"/>
      <c r="C448" s="52"/>
      <c r="D448" s="52"/>
    </row>
    <row r="449" spans="2:4" x14ac:dyDescent="0.25">
      <c r="B449" s="52"/>
      <c r="C449" s="52"/>
      <c r="D449" s="52"/>
    </row>
    <row r="450" spans="2:4" x14ac:dyDescent="0.25">
      <c r="B450" s="52"/>
      <c r="C450" s="52"/>
      <c r="D450" s="52"/>
    </row>
    <row r="451" spans="2:4" x14ac:dyDescent="0.25">
      <c r="B451" s="52"/>
      <c r="C451" s="52"/>
      <c r="D451" s="52"/>
    </row>
    <row r="452" spans="2:4" x14ac:dyDescent="0.25">
      <c r="B452" s="52"/>
      <c r="C452" s="52"/>
      <c r="D452" s="52"/>
    </row>
    <row r="453" spans="2:4" x14ac:dyDescent="0.25">
      <c r="B453" s="52"/>
      <c r="C453" s="52"/>
      <c r="D453" s="52"/>
    </row>
    <row r="454" spans="2:4" x14ac:dyDescent="0.25">
      <c r="B454" s="52"/>
      <c r="C454" s="52"/>
      <c r="D454" s="52"/>
    </row>
    <row r="455" spans="2:4" x14ac:dyDescent="0.25">
      <c r="B455" s="52"/>
      <c r="C455" s="52"/>
      <c r="D455" s="52"/>
    </row>
    <row r="456" spans="2:4" x14ac:dyDescent="0.25">
      <c r="B456" s="52"/>
      <c r="C456" s="52"/>
      <c r="D456" s="52"/>
    </row>
    <row r="457" spans="2:4" x14ac:dyDescent="0.25">
      <c r="B457" s="52"/>
      <c r="C457" s="52"/>
      <c r="D457" s="52"/>
    </row>
    <row r="458" spans="2:4" x14ac:dyDescent="0.25">
      <c r="B458" s="52"/>
      <c r="C458" s="52"/>
      <c r="D458" s="52"/>
    </row>
    <row r="459" spans="2:4" x14ac:dyDescent="0.25">
      <c r="B459" s="52"/>
      <c r="C459" s="52"/>
      <c r="D459" s="52"/>
    </row>
    <row r="460" spans="2:4" x14ac:dyDescent="0.25">
      <c r="B460" s="52"/>
      <c r="C460" s="52"/>
      <c r="D460" s="52"/>
    </row>
    <row r="461" spans="2:4" x14ac:dyDescent="0.25">
      <c r="B461" s="52"/>
      <c r="C461" s="52"/>
      <c r="D461" s="52"/>
    </row>
    <row r="462" spans="2:4" x14ac:dyDescent="0.25">
      <c r="B462" s="52"/>
      <c r="C462" s="52"/>
      <c r="D462" s="52"/>
    </row>
    <row r="463" spans="2:4" x14ac:dyDescent="0.25">
      <c r="B463" s="52"/>
      <c r="C463" s="52"/>
      <c r="D463" s="52"/>
    </row>
    <row r="464" spans="2:4" x14ac:dyDescent="0.25">
      <c r="B464" s="52"/>
      <c r="C464" s="52"/>
      <c r="D464" s="52"/>
    </row>
    <row r="465" spans="2:4" x14ac:dyDescent="0.25">
      <c r="B465" s="52"/>
      <c r="C465" s="52"/>
      <c r="D465" s="52"/>
    </row>
    <row r="466" spans="2:4" x14ac:dyDescent="0.25">
      <c r="B466" s="52"/>
      <c r="C466" s="52"/>
      <c r="D466" s="52"/>
    </row>
    <row r="467" spans="2:4" x14ac:dyDescent="0.25">
      <c r="B467" s="52"/>
      <c r="C467" s="52"/>
      <c r="D467" s="52"/>
    </row>
    <row r="468" spans="2:4" x14ac:dyDescent="0.25">
      <c r="B468" s="52"/>
      <c r="C468" s="52"/>
      <c r="D468" s="52"/>
    </row>
    <row r="469" spans="2:4" x14ac:dyDescent="0.25">
      <c r="B469" s="52"/>
      <c r="C469" s="52"/>
      <c r="D469" s="52"/>
    </row>
    <row r="470" spans="2:4" x14ac:dyDescent="0.25">
      <c r="B470" s="52"/>
      <c r="C470" s="52"/>
      <c r="D470" s="52"/>
    </row>
    <row r="471" spans="2:4" x14ac:dyDescent="0.25">
      <c r="B471" s="52"/>
      <c r="C471" s="52"/>
      <c r="D471" s="52"/>
    </row>
    <row r="472" spans="2:4" x14ac:dyDescent="0.25">
      <c r="B472" s="52"/>
      <c r="C472" s="52"/>
      <c r="D472" s="52"/>
    </row>
    <row r="473" spans="2:4" x14ac:dyDescent="0.25">
      <c r="B473" s="52"/>
      <c r="C473" s="52"/>
      <c r="D473" s="52"/>
    </row>
    <row r="474" spans="2:4" x14ac:dyDescent="0.25">
      <c r="B474" s="52"/>
      <c r="C474" s="52"/>
      <c r="D474" s="52"/>
    </row>
    <row r="475" spans="2:4" x14ac:dyDescent="0.25">
      <c r="B475" s="52"/>
      <c r="C475" s="52"/>
      <c r="D475" s="52"/>
    </row>
    <row r="476" spans="2:4" x14ac:dyDescent="0.25">
      <c r="B476" s="52"/>
      <c r="C476" s="52"/>
      <c r="D476" s="52"/>
    </row>
    <row r="477" spans="2:4" x14ac:dyDescent="0.25">
      <c r="B477" s="52"/>
      <c r="C477" s="52"/>
      <c r="D477" s="52"/>
    </row>
    <row r="478" spans="2:4" x14ac:dyDescent="0.25">
      <c r="B478" s="52"/>
      <c r="C478" s="52"/>
      <c r="D478" s="52"/>
    </row>
    <row r="479" spans="2:4" x14ac:dyDescent="0.25">
      <c r="B479" s="52"/>
      <c r="C479" s="52"/>
      <c r="D479" s="52"/>
    </row>
    <row r="480" spans="2:4" x14ac:dyDescent="0.25">
      <c r="B480" s="52"/>
      <c r="C480" s="52"/>
      <c r="D480" s="52"/>
    </row>
    <row r="481" spans="2:4" x14ac:dyDescent="0.25">
      <c r="B481" s="52"/>
      <c r="C481" s="52"/>
      <c r="D481" s="52"/>
    </row>
    <row r="482" spans="2:4" x14ac:dyDescent="0.25">
      <c r="B482" s="52"/>
      <c r="C482" s="52"/>
      <c r="D482" s="52"/>
    </row>
    <row r="483" spans="2:4" x14ac:dyDescent="0.25">
      <c r="B483" s="52"/>
      <c r="C483" s="52"/>
      <c r="D483" s="52"/>
    </row>
    <row r="484" spans="2:4" x14ac:dyDescent="0.25">
      <c r="B484" s="52"/>
      <c r="C484" s="52"/>
      <c r="D484" s="52"/>
    </row>
    <row r="485" spans="2:4" x14ac:dyDescent="0.25">
      <c r="B485" s="52"/>
      <c r="C485" s="52"/>
      <c r="D485" s="52"/>
    </row>
    <row r="486" spans="2:4" x14ac:dyDescent="0.25">
      <c r="B486" s="52"/>
      <c r="C486" s="52"/>
      <c r="D486" s="52"/>
    </row>
    <row r="487" spans="2:4" x14ac:dyDescent="0.25">
      <c r="B487" s="52"/>
      <c r="C487" s="52"/>
      <c r="D487" s="52"/>
    </row>
    <row r="488" spans="2:4" x14ac:dyDescent="0.25">
      <c r="B488" s="52"/>
      <c r="C488" s="52"/>
      <c r="D488" s="52"/>
    </row>
    <row r="489" spans="2:4" x14ac:dyDescent="0.25">
      <c r="B489" s="52"/>
      <c r="C489" s="52"/>
      <c r="D489" s="52"/>
    </row>
    <row r="490" spans="2:4" x14ac:dyDescent="0.25">
      <c r="B490" s="52"/>
      <c r="C490" s="52"/>
      <c r="D490" s="52"/>
    </row>
    <row r="491" spans="2:4" x14ac:dyDescent="0.25">
      <c r="B491" s="52"/>
      <c r="C491" s="52"/>
      <c r="D491" s="52"/>
    </row>
    <row r="492" spans="2:4" x14ac:dyDescent="0.25">
      <c r="B492" s="52"/>
      <c r="C492" s="52"/>
      <c r="D492" s="52"/>
    </row>
    <row r="493" spans="2:4" x14ac:dyDescent="0.25">
      <c r="B493" s="52"/>
      <c r="C493" s="52"/>
      <c r="D493" s="52"/>
    </row>
    <row r="494" spans="2:4" x14ac:dyDescent="0.25">
      <c r="B494" s="52"/>
      <c r="C494" s="52"/>
      <c r="D494" s="52"/>
    </row>
    <row r="495" spans="2:4" x14ac:dyDescent="0.25">
      <c r="B495" s="52"/>
      <c r="C495" s="52"/>
      <c r="D495" s="52"/>
    </row>
    <row r="496" spans="2:4" x14ac:dyDescent="0.25">
      <c r="B496" s="52"/>
      <c r="C496" s="52"/>
      <c r="D496" s="52"/>
    </row>
    <row r="497" spans="2:4" x14ac:dyDescent="0.25">
      <c r="B497" s="52"/>
      <c r="C497" s="52"/>
      <c r="D497" s="52"/>
    </row>
    <row r="498" spans="2:4" x14ac:dyDescent="0.25">
      <c r="B498" s="52"/>
      <c r="C498" s="52"/>
      <c r="D498" s="52"/>
    </row>
    <row r="499" spans="2:4" x14ac:dyDescent="0.25">
      <c r="B499" s="52"/>
      <c r="C499" s="52"/>
      <c r="D499" s="52"/>
    </row>
    <row r="500" spans="2:4" x14ac:dyDescent="0.25">
      <c r="B500" s="52"/>
      <c r="C500" s="52"/>
      <c r="D500" s="52"/>
    </row>
    <row r="501" spans="2:4" x14ac:dyDescent="0.25">
      <c r="B501" s="52"/>
      <c r="C501" s="52"/>
      <c r="D501" s="52"/>
    </row>
    <row r="502" spans="2:4" x14ac:dyDescent="0.25">
      <c r="B502" s="52"/>
      <c r="C502" s="52"/>
      <c r="D502" s="52"/>
    </row>
    <row r="503" spans="2:4" x14ac:dyDescent="0.25">
      <c r="B503" s="52"/>
      <c r="C503" s="52"/>
      <c r="D503" s="52"/>
    </row>
    <row r="504" spans="2:4" x14ac:dyDescent="0.25">
      <c r="B504" s="52"/>
      <c r="C504" s="52"/>
      <c r="D504" s="52"/>
    </row>
    <row r="505" spans="2:4" x14ac:dyDescent="0.25">
      <c r="B505" s="52"/>
      <c r="C505" s="52"/>
      <c r="D505" s="52"/>
    </row>
    <row r="506" spans="2:4" x14ac:dyDescent="0.25">
      <c r="B506" s="52"/>
      <c r="C506" s="52"/>
      <c r="D506" s="52"/>
    </row>
    <row r="507" spans="2:4" x14ac:dyDescent="0.25">
      <c r="B507" s="52"/>
      <c r="C507" s="52"/>
      <c r="D507" s="52"/>
    </row>
    <row r="508" spans="2:4" x14ac:dyDescent="0.25">
      <c r="B508" s="52"/>
      <c r="C508" s="52"/>
      <c r="D508" s="52"/>
    </row>
    <row r="509" spans="2:4" x14ac:dyDescent="0.25">
      <c r="B509" s="52"/>
      <c r="C509" s="52"/>
      <c r="D509" s="52"/>
    </row>
    <row r="510" spans="2:4" x14ac:dyDescent="0.25">
      <c r="B510" s="52"/>
      <c r="C510" s="52"/>
      <c r="D510" s="52"/>
    </row>
    <row r="511" spans="2:4" x14ac:dyDescent="0.25">
      <c r="B511" s="52"/>
      <c r="C511" s="52"/>
      <c r="D511" s="52"/>
    </row>
    <row r="512" spans="2:4" x14ac:dyDescent="0.25">
      <c r="B512" s="52"/>
      <c r="C512" s="52"/>
      <c r="D512" s="52"/>
    </row>
    <row r="513" spans="2:4" x14ac:dyDescent="0.25">
      <c r="B513" s="52"/>
      <c r="C513" s="52"/>
      <c r="D513" s="52"/>
    </row>
    <row r="514" spans="2:4" x14ac:dyDescent="0.25">
      <c r="B514" s="52"/>
      <c r="C514" s="52"/>
      <c r="D514" s="52"/>
    </row>
    <row r="515" spans="2:4" x14ac:dyDescent="0.25">
      <c r="B515" s="52"/>
      <c r="C515" s="52"/>
      <c r="D515" s="52"/>
    </row>
    <row r="516" spans="2:4" x14ac:dyDescent="0.25">
      <c r="B516" s="52"/>
      <c r="C516" s="52"/>
      <c r="D516" s="52"/>
    </row>
    <row r="517" spans="2:4" x14ac:dyDescent="0.25">
      <c r="B517" s="52"/>
      <c r="C517" s="52"/>
      <c r="D517" s="52"/>
    </row>
    <row r="518" spans="2:4" x14ac:dyDescent="0.25">
      <c r="B518" s="52"/>
      <c r="C518" s="52"/>
      <c r="D518" s="52"/>
    </row>
    <row r="519" spans="2:4" x14ac:dyDescent="0.25">
      <c r="B519" s="52"/>
      <c r="C519" s="52"/>
      <c r="D519" s="52"/>
    </row>
    <row r="520" spans="2:4" x14ac:dyDescent="0.25">
      <c r="B520" s="52"/>
      <c r="C520" s="52"/>
      <c r="D520" s="52"/>
    </row>
    <row r="521" spans="2:4" x14ac:dyDescent="0.25">
      <c r="B521" s="52"/>
      <c r="C521" s="52"/>
      <c r="D521" s="52"/>
    </row>
    <row r="522" spans="2:4" x14ac:dyDescent="0.25">
      <c r="B522" s="52"/>
      <c r="C522" s="52"/>
      <c r="D522" s="52"/>
    </row>
    <row r="523" spans="2:4" x14ac:dyDescent="0.25">
      <c r="B523" s="52"/>
      <c r="C523" s="52"/>
      <c r="D523" s="52"/>
    </row>
    <row r="524" spans="2:4" x14ac:dyDescent="0.25">
      <c r="B524" s="52"/>
      <c r="C524" s="52"/>
      <c r="D524" s="52"/>
    </row>
    <row r="525" spans="2:4" x14ac:dyDescent="0.25">
      <c r="B525" s="52"/>
      <c r="C525" s="52"/>
      <c r="D525" s="52"/>
    </row>
    <row r="526" spans="2:4" x14ac:dyDescent="0.25">
      <c r="B526" s="52"/>
      <c r="C526" s="52"/>
      <c r="D526" s="52"/>
    </row>
    <row r="527" spans="2:4" x14ac:dyDescent="0.25">
      <c r="B527" s="52"/>
      <c r="C527" s="52"/>
      <c r="D527" s="52"/>
    </row>
    <row r="528" spans="2:4" x14ac:dyDescent="0.25">
      <c r="B528" s="52"/>
      <c r="C528" s="52"/>
      <c r="D528" s="52"/>
    </row>
    <row r="529" spans="2:4" x14ac:dyDescent="0.25">
      <c r="B529" s="52"/>
      <c r="C529" s="52"/>
      <c r="D529" s="52"/>
    </row>
    <row r="530" spans="2:4" x14ac:dyDescent="0.25">
      <c r="B530" s="52"/>
      <c r="C530" s="52"/>
      <c r="D530" s="52"/>
    </row>
    <row r="531" spans="2:4" x14ac:dyDescent="0.25">
      <c r="B531" s="52"/>
      <c r="C531" s="52"/>
      <c r="D531" s="52"/>
    </row>
    <row r="532" spans="2:4" x14ac:dyDescent="0.25">
      <c r="B532" s="52"/>
      <c r="C532" s="52"/>
      <c r="D532" s="52"/>
    </row>
    <row r="533" spans="2:4" x14ac:dyDescent="0.25">
      <c r="B533" s="52"/>
      <c r="C533" s="52"/>
      <c r="D533" s="52"/>
    </row>
    <row r="534" spans="2:4" x14ac:dyDescent="0.25">
      <c r="B534" s="52"/>
      <c r="C534" s="52"/>
      <c r="D534" s="52"/>
    </row>
    <row r="535" spans="2:4" x14ac:dyDescent="0.25">
      <c r="B535" s="52"/>
      <c r="C535" s="52"/>
      <c r="D535" s="52"/>
    </row>
    <row r="536" spans="2:4" x14ac:dyDescent="0.25">
      <c r="B536" s="52"/>
      <c r="C536" s="52"/>
      <c r="D536" s="52"/>
    </row>
    <row r="537" spans="2:4" x14ac:dyDescent="0.25">
      <c r="B537" s="52"/>
      <c r="C537" s="52"/>
      <c r="D537" s="52"/>
    </row>
    <row r="538" spans="2:4" x14ac:dyDescent="0.25">
      <c r="B538" s="52"/>
      <c r="C538" s="52"/>
      <c r="D538" s="52"/>
    </row>
    <row r="539" spans="2:4" x14ac:dyDescent="0.25">
      <c r="B539" s="52"/>
      <c r="C539" s="52"/>
      <c r="D539" s="52"/>
    </row>
    <row r="540" spans="2:4" x14ac:dyDescent="0.25">
      <c r="B540" s="52"/>
      <c r="C540" s="52"/>
      <c r="D540" s="52"/>
    </row>
    <row r="541" spans="2:4" x14ac:dyDescent="0.25">
      <c r="B541" s="52"/>
      <c r="C541" s="52"/>
      <c r="D541" s="52"/>
    </row>
    <row r="542" spans="2:4" x14ac:dyDescent="0.25">
      <c r="B542" s="52"/>
      <c r="C542" s="52"/>
      <c r="D542" s="52"/>
    </row>
    <row r="543" spans="2:4" x14ac:dyDescent="0.25">
      <c r="B543" s="52"/>
      <c r="C543" s="52"/>
      <c r="D543" s="52"/>
    </row>
    <row r="544" spans="2:4" x14ac:dyDescent="0.25">
      <c r="B544" s="52"/>
      <c r="C544" s="52"/>
      <c r="D544" s="52"/>
    </row>
    <row r="545" spans="2:4" x14ac:dyDescent="0.25">
      <c r="B545" s="52"/>
      <c r="C545" s="52"/>
      <c r="D545" s="52"/>
    </row>
    <row r="546" spans="2:4" x14ac:dyDescent="0.25">
      <c r="B546" s="52"/>
      <c r="C546" s="52"/>
      <c r="D546" s="52"/>
    </row>
    <row r="547" spans="2:4" x14ac:dyDescent="0.25">
      <c r="B547" s="52"/>
      <c r="C547" s="52"/>
      <c r="D547" s="52"/>
    </row>
    <row r="548" spans="2:4" x14ac:dyDescent="0.25">
      <c r="B548" s="52"/>
      <c r="C548" s="52"/>
      <c r="D548" s="52"/>
    </row>
    <row r="549" spans="2:4" x14ac:dyDescent="0.25">
      <c r="B549" s="52"/>
      <c r="C549" s="52"/>
      <c r="D549" s="52"/>
    </row>
    <row r="550" spans="2:4" x14ac:dyDescent="0.25">
      <c r="B550" s="52"/>
      <c r="C550" s="52"/>
      <c r="D550" s="52"/>
    </row>
    <row r="551" spans="2:4" x14ac:dyDescent="0.25">
      <c r="B551" s="52"/>
      <c r="C551" s="52"/>
      <c r="D551" s="52"/>
    </row>
    <row r="552" spans="2:4" x14ac:dyDescent="0.25">
      <c r="B552" s="52"/>
      <c r="C552" s="52"/>
      <c r="D552" s="52"/>
    </row>
    <row r="553" spans="2:4" x14ac:dyDescent="0.25">
      <c r="B553" s="52"/>
      <c r="C553" s="52"/>
      <c r="D553" s="52"/>
    </row>
  </sheetData>
  <mergeCells count="1">
    <mergeCell ref="B1:D1"/>
  </mergeCells>
  <hyperlinks>
    <hyperlink ref="D67" r:id="rId1"/>
    <hyperlink ref="D79" r:id="rId2"/>
    <hyperlink ref="D91" r:id="rId3"/>
    <hyperlink ref="D96" r:id="rId4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4"/>
  <sheetViews>
    <sheetView workbookViewId="0">
      <selection activeCell="B5" sqref="B5"/>
    </sheetView>
  </sheetViews>
  <sheetFormatPr baseColWidth="10" defaultRowHeight="15" x14ac:dyDescent="0.25"/>
  <cols>
    <col min="1" max="1" width="28.28515625" customWidth="1"/>
  </cols>
  <sheetData>
    <row r="1" spans="1:1" x14ac:dyDescent="0.25">
      <c r="A1" t="s">
        <v>60</v>
      </c>
    </row>
    <row r="2" spans="1:1" x14ac:dyDescent="0.25">
      <c r="A2" t="s">
        <v>74</v>
      </c>
    </row>
    <row r="3" spans="1:1" x14ac:dyDescent="0.25">
      <c r="A3" t="s">
        <v>61</v>
      </c>
    </row>
    <row r="4" spans="1:1" x14ac:dyDescent="0.25">
      <c r="A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Planning journalier</vt:lpstr>
      <vt:lpstr>Personnel</vt:lpstr>
      <vt:lpstr>Vacances</vt:lpstr>
      <vt:lpstr>Feries</vt:lpstr>
      <vt:lpstr>Groupes</vt:lpstr>
      <vt:lpstr>Remplacements</vt:lpstr>
      <vt:lpstr>Parametres</vt:lpstr>
      <vt:lpstr>Index des Versions</vt:lpstr>
      <vt:lpstr>Liste</vt:lpstr>
      <vt:lpstr>ApresMidi</vt:lpstr>
      <vt:lpstr>Date_planning</vt:lpstr>
      <vt:lpstr>Date_print</vt:lpstr>
      <vt:lpstr>Effectif_Minimum</vt:lpstr>
      <vt:lpstr>EnEpreuve_VaoX5A</vt:lpstr>
      <vt:lpstr>EnEpreuve_VaoX5B</vt:lpstr>
      <vt:lpstr>EnEpreuve_VaoX5C</vt:lpstr>
      <vt:lpstr>EnEpreuve_VaoX5D</vt:lpstr>
      <vt:lpstr>MAJ_Stats</vt:lpstr>
      <vt:lpstr>Ref_GroupeG1</vt:lpstr>
      <vt:lpstr>Resp_livraison</vt:lpstr>
      <vt:lpstr>Resp_Semaine</vt:lpstr>
      <vt:lpstr>VaoX5_C_EnEpreuve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Cirulli</dc:creator>
  <cp:lastModifiedBy>Joakim Nicolet-dit-Félix</cp:lastModifiedBy>
  <cp:lastPrinted>2026-06-09T09:00:58Z</cp:lastPrinted>
  <dcterms:created xsi:type="dcterms:W3CDTF">2026-02-10T15:45:26Z</dcterms:created>
  <dcterms:modified xsi:type="dcterms:W3CDTF">2026-06-11T12:46:35Z</dcterms:modified>
</cp:coreProperties>
</file>