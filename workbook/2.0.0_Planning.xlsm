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cmaas01\Partage\BOLO_Files\01_Administration\03_Commun\03_Joakim Nicolet-dit-Felix\Planning macro\01_Pas toucher !\2.0.0 Planning\"/>
    </mc:Choice>
  </mc:AlternateContent>
  <bookViews>
    <workbookView xWindow="0" yWindow="0" windowWidth="17370" windowHeight="6195"/>
  </bookViews>
  <sheets>
    <sheet name="Planning journalier" sheetId="15" r:id="rId1"/>
    <sheet name="Personnel" sheetId="24" r:id="rId2"/>
    <sheet name="Vacances" sheetId="25" r:id="rId3"/>
    <sheet name="Feries" sheetId="27" r:id="rId4"/>
    <sheet name="Groupes" sheetId="28" r:id="rId5"/>
    <sheet name="Remplacements" sheetId="26" r:id="rId6"/>
    <sheet name="Parametres" sheetId="20" r:id="rId7"/>
    <sheet name="Index des Versions" sheetId="21" r:id="rId8"/>
    <sheet name="Liste" sheetId="30" r:id="rId9"/>
  </sheets>
  <functionGroups builtInGroupCount="18"/>
  <externalReferences>
    <externalReference r:id="rId10"/>
    <externalReference r:id="rId11"/>
  </externalReferences>
  <definedNames>
    <definedName name="ApresMidi">'Planning journalier'!$F$24:$F$26</definedName>
    <definedName name="Close_VX1AB">Parametres!#REF!</definedName>
    <definedName name="Close_VX5A">Parametres!#REF!</definedName>
    <definedName name="Close_VX5B">Parametres!#REF!</definedName>
    <definedName name="Close_VX5C">Parametres!#REF!</definedName>
    <definedName name="Close_VX5D">Parametres!#REF!</definedName>
    <definedName name="Date_planning">'Planning journalier'!$B$3</definedName>
    <definedName name="Date_print">'Planning journalier'!$G$31</definedName>
    <definedName name="Effectif_Minimum">Parametres!$G$2</definedName>
    <definedName name="EnEpreuve_VaoX5A">'Planning journalier'!$B$9</definedName>
    <definedName name="EnEpreuve_VaoX5B">'Planning journalier'!$B$10</definedName>
    <definedName name="EnEpreuve_VaoX5C">'Planning journalier'!$B$11</definedName>
    <definedName name="EnEpreuve_VaoX5D">'Planning journalier'!$B$12</definedName>
    <definedName name="Jour">[1]Feuil2!$B$1:$B$7</definedName>
    <definedName name="Jours">[2]Listes!$B$2:$B$8</definedName>
    <definedName name="liste" localSheetId="0">#REF!</definedName>
    <definedName name="liste">#REF!</definedName>
    <definedName name="MAJ_Stats">'Planning journalier'!$G$32</definedName>
    <definedName name="Max_Vaox5A">Parametres!#REF!</definedName>
    <definedName name="Max_Vaox5B">Parametres!#REF!</definedName>
    <definedName name="Max_Vaox5C">Parametres!#REF!</definedName>
    <definedName name="Max_Vaox5D">Parametres!#REF!</definedName>
    <definedName name="Min_Vaox5A">Parametres!#REF!</definedName>
    <definedName name="Ref_GroupeG1">'Planning journalier'!$G$33</definedName>
    <definedName name="Resp">[2]Listes!$C$2:$C$6</definedName>
    <definedName name="Resp_livraison">'Planning journalier'!$G$29</definedName>
    <definedName name="Resp_Semaine">'Planning journalier'!$G$28</definedName>
    <definedName name="Seuil_Vaox5A">Parametres!#REF!</definedName>
    <definedName name="Seuil_Vaox5B">Parametres!#REF!</definedName>
    <definedName name="Seuil_Vaox5C">Parametres!#REF!</definedName>
    <definedName name="Seuil_Vaox5D">Parametres!#REF!</definedName>
    <definedName name="Tâches">[2]Listes!$A$2:$A$14</definedName>
    <definedName name="test">'Planning journalier'!#REF!</definedName>
    <definedName name="VaoX5_C_EnEpreuve">'Planning journalier'!$B$11</definedName>
    <definedName name="VX5A_Seuil_1">Parametres!#REF!</definedName>
    <definedName name="VX5A_Seuil_2">Parametres!#REF!</definedName>
    <definedName name="VX5B_Seuil_1">Parametres!#REF!</definedName>
    <definedName name="VX5B_Seuil_2">Parametres!#REF!</definedName>
    <definedName name="VX5C_Seuil_1">Parametres!#REF!</definedName>
    <definedName name="VX5C_Seuil_2">Parametres!#REF!</definedName>
    <definedName name="VX5D_Seuil_1">Parametres!#REF!</definedName>
    <definedName name="VX5D_Seuil_2">Parametres!#REF!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15" l="1"/>
  <c r="C13" i="15"/>
  <c r="B13" i="15"/>
  <c r="A3" i="15" l="1"/>
  <c r="D17" i="15" l="1"/>
  <c r="D16" i="15"/>
</calcChain>
</file>

<file path=xl/sharedStrings.xml><?xml version="1.0" encoding="utf-8"?>
<sst xmlns="http://schemas.openxmlformats.org/spreadsheetml/2006/main" count="1361" uniqueCount="364">
  <si>
    <t>Vaox5-A 1</t>
  </si>
  <si>
    <t>Vaox5-A 2</t>
  </si>
  <si>
    <t>Vaox5-A 3</t>
  </si>
  <si>
    <t>Vaox5-B 1</t>
  </si>
  <si>
    <t>Vaox5-B 2</t>
  </si>
  <si>
    <t>Vaox5-B 3</t>
  </si>
  <si>
    <t>Vaox5-C 1</t>
  </si>
  <si>
    <t>Vaox5-C 2</t>
  </si>
  <si>
    <t>Chopard Katia</t>
  </si>
  <si>
    <t>Diop Muriel</t>
  </si>
  <si>
    <t>Fleuty Bernadette</t>
  </si>
  <si>
    <t>Gauthier Fabienne</t>
  </si>
  <si>
    <t>Kolarevic Melisa</t>
  </si>
  <si>
    <t>Lezzi Mirella</t>
  </si>
  <si>
    <t>Nicolet Valérie</t>
  </si>
  <si>
    <t>Piaget Maybelline</t>
  </si>
  <si>
    <t>Robert-Nicoud Isabelle</t>
  </si>
  <si>
    <t>Salodini Christine</t>
  </si>
  <si>
    <t>Valceschini Samira</t>
  </si>
  <si>
    <t>Wälti Jenny</t>
  </si>
  <si>
    <t>Lundi</t>
  </si>
  <si>
    <t>Mardi</t>
  </si>
  <si>
    <t>Mercredi</t>
  </si>
  <si>
    <t>Jeudi</t>
  </si>
  <si>
    <t>Vendredi</t>
  </si>
  <si>
    <t>Samedi</t>
  </si>
  <si>
    <t>Dimanche</t>
  </si>
  <si>
    <t>Date</t>
  </si>
  <si>
    <t>Quantités</t>
  </si>
  <si>
    <t>Aux OFF</t>
  </si>
  <si>
    <t>VaoX1-A</t>
  </si>
  <si>
    <t>VaoX1-B</t>
  </si>
  <si>
    <t>VaoX5-A</t>
  </si>
  <si>
    <t>VaoX5-B</t>
  </si>
  <si>
    <t>VaoX5-C</t>
  </si>
  <si>
    <t>VaoX5-D</t>
  </si>
  <si>
    <t>Total</t>
  </si>
  <si>
    <t>Qté total</t>
  </si>
  <si>
    <t>Matin</t>
  </si>
  <si>
    <t>Chapatte Lena</t>
  </si>
  <si>
    <t>Curato Sara</t>
  </si>
  <si>
    <t>Gerber Emmanuelle</t>
  </si>
  <si>
    <t>Gonçalves Viviana</t>
  </si>
  <si>
    <t>Keller Olivia</t>
  </si>
  <si>
    <t>León Diego</t>
  </si>
  <si>
    <t>Örge Velican</t>
  </si>
  <si>
    <t>Smusz Lidia</t>
  </si>
  <si>
    <t>Aeschlimann Lucie</t>
  </si>
  <si>
    <t>Aeschlimann Mila</t>
  </si>
  <si>
    <t>Dubois Noémie</t>
  </si>
  <si>
    <t>Ferrera Lopes Iris</t>
  </si>
  <si>
    <t>Jean-Mairet Sophie</t>
  </si>
  <si>
    <t>Latino Lory</t>
  </si>
  <si>
    <t>Miéville Julia</t>
  </si>
  <si>
    <t>Miéville Nathan</t>
  </si>
  <si>
    <t>Stämpfli Annaé</t>
  </si>
  <si>
    <t>Tora Suarez Ines</t>
  </si>
  <si>
    <t>Après-midi</t>
  </si>
  <si>
    <t>Entrées</t>
  </si>
  <si>
    <t>Sorties</t>
  </si>
  <si>
    <t>Casciotta Pierluigi</t>
  </si>
  <si>
    <t>Loertscher Christophe</t>
  </si>
  <si>
    <t>Nicolet Joakim</t>
  </si>
  <si>
    <t>En épreuves</t>
  </si>
  <si>
    <t>Remarques</t>
  </si>
  <si>
    <t>Poste</t>
  </si>
  <si>
    <t>Resp. production :</t>
  </si>
  <si>
    <t>Resp. livraison :</t>
  </si>
  <si>
    <t>Nom</t>
  </si>
  <si>
    <t>Vaox5-A</t>
  </si>
  <si>
    <t>Vaox5-B</t>
  </si>
  <si>
    <t>Vaox5-C</t>
  </si>
  <si>
    <t>Vaox5-D</t>
  </si>
  <si>
    <t>D</t>
  </si>
  <si>
    <t>Cirulli Nicola</t>
  </si>
  <si>
    <t>Impression le :</t>
  </si>
  <si>
    <t>Machine</t>
  </si>
  <si>
    <t>Post</t>
  </si>
  <si>
    <t>Version</t>
  </si>
  <si>
    <t>Détails</t>
  </si>
  <si>
    <t>V_1.0.0</t>
  </si>
  <si>
    <t>V_1.1.0</t>
  </si>
  <si>
    <t>Version initial</t>
  </si>
  <si>
    <t>Version initial du projet</t>
  </si>
  <si>
    <t>Date création</t>
  </si>
  <si>
    <t>Date mise en service</t>
  </si>
  <si>
    <t>Auteur</t>
  </si>
  <si>
    <t>JNF</t>
  </si>
  <si>
    <t>Info</t>
  </si>
  <si>
    <t>Mise à jour graphique</t>
  </si>
  <si>
    <t>Réorganisation de l'emplacement des boutons</t>
  </si>
  <si>
    <t>Augmentation du nombre admis de personnel lors de la création du planning</t>
  </si>
  <si>
    <t>Impactes</t>
  </si>
  <si>
    <t>Feuille "Planning journalier"</t>
  </si>
  <si>
    <t>Feuille "Horaire"</t>
  </si>
  <si>
    <t xml:space="preserve">Feuille "Planning journalier"
</t>
  </si>
  <si>
    <t>Feuille "Restriction"</t>
  </si>
  <si>
    <t>Feuille "Statistique"</t>
  </si>
  <si>
    <t>Index des versions</t>
  </si>
  <si>
    <t>Ajout de quelques fonctions automatisées</t>
  </si>
  <si>
    <t>Ajout d'un seuil Quantité/Personnel sur Vaox5-A, B, D</t>
  </si>
  <si>
    <t>Sub GenererPlanning()
Li 125
Li 132</t>
  </si>
  <si>
    <t>Sub ConstruireListePostes()
Li 284
Li 320
Li 329
Li 345
Li 378</t>
  </si>
  <si>
    <t>Feuille "Paramètres"
Ajout des trois machines</t>
  </si>
  <si>
    <t>Verrouillage des lettre en Majuscule dans la feuille horaire</t>
  </si>
  <si>
    <t>Simplification de remplissage</t>
  </si>
  <si>
    <t>Feuille "Horaire"
Masquage des Colones A à F</t>
  </si>
  <si>
    <t>Enregistrement Auto PDF</t>
  </si>
  <si>
    <t>Sub ImprimerPlanning()
Li 57</t>
  </si>
  <si>
    <t>Suppression de la cellule de titre "Planning journalier" pour l'intégré dans l'en-tête du fichier</t>
  </si>
  <si>
    <t>Feuille "Planning journalier"
A1</t>
  </si>
  <si>
    <t>Enregistrement automatique d'un PDF dans un dossier "Archives"
Se trouve au même chemin d'accès que ce document</t>
  </si>
  <si>
    <t>Jour précédant</t>
  </si>
  <si>
    <t>Jour en cours</t>
  </si>
  <si>
    <t>V_1.2.0</t>
  </si>
  <si>
    <t>L'ordre de passage du personnel par machine ne passe plus par la feuille "News Planning". 
Désormait, l'ordre est effectuer aléatoirement et en concertation de la feuille des "Statistiques"</t>
  </si>
  <si>
    <t>Suppression feuille "News Planning"</t>
  </si>
  <si>
    <t xml:space="preserve">Ordre de passage </t>
  </si>
  <si>
    <t>Vaox1-A&amp;B</t>
  </si>
  <si>
    <t>Feuille "News Planning"</t>
  </si>
  <si>
    <t>Sub GenererPlanning()</t>
  </si>
  <si>
    <t>Fermeture machine</t>
  </si>
  <si>
    <t>Ajout d'une option de fermeture par machine via case à cocher native Excel</t>
  </si>
  <si>
    <t>Feuille "Paramètres"</t>
  </si>
  <si>
    <t>Seuils quantité</t>
  </si>
  <si>
    <t>Remplacement de l'ancien seuil unique par deux seuils par machine (passage de 1→2 et 2→3 personnes)</t>
  </si>
  <si>
    <t>Function CalculerNbPersonnes()</t>
  </si>
  <si>
    <t>Planning Matin / Après-midi</t>
  </si>
  <si>
    <t>Séparation du planning en deux tableaux distincts</t>
  </si>
  <si>
    <t>Planning_Matin (F6:G20) : toutes les opératrices présentes (M et J)</t>
  </si>
  <si>
    <t>Planning_ApresMidi (F25:G27) : opératrices code J uniquement, indicatif</t>
  </si>
  <si>
    <t>Plage nommée : Planning_ApresMidi</t>
  </si>
  <si>
    <t>Expédition dynamique</t>
  </si>
  <si>
    <t>Les opératrices restantes après les postes machines sont automatiquement affectées à l'Expédition</t>
  </si>
  <si>
    <t>Impression</t>
  </si>
  <si>
    <t>Ajout de la boîte de dialogue d'impression native Excel pour le choix de l'imprimante</t>
  </si>
  <si>
    <t>Sub ImprimerPlanning()</t>
  </si>
  <si>
    <t>Plages nommées</t>
  </si>
  <si>
    <t xml:space="preserve"> nomméesUtilisation systématique des plages nommées pour toutes les cellules clés</t>
  </si>
  <si>
    <t>Date_planning
EnEpreuve_VaoX5A/B/C/D
Date_print</t>
  </si>
  <si>
    <t>Plages nommées : 
Close_VX1AB
Close_VX5A
Close_VX5B
Close_VX5C
Close_VX5D</t>
  </si>
  <si>
    <t>Plages nommées : 
VX5A/B/C/D_Seuil_1
VX5A/B/C/D_Seuil_2</t>
  </si>
  <si>
    <t>(F6:G20) : toutes les opératrices présentes (M et J)
Plage nommée : Planning_Matin</t>
  </si>
  <si>
    <t>Statistiques</t>
  </si>
  <si>
    <t>Mise à jour des statistiques uniquement sur le Planning_Matin</t>
  </si>
  <si>
    <t>Sub MettreAJourStatistiques()</t>
  </si>
  <si>
    <t>Modèle AI</t>
  </si>
  <si>
    <t>ChatGPT,  GPT-5.3</t>
  </si>
  <si>
    <t>Claude, Sonnet-4.6</t>
  </si>
  <si>
    <t>V_1.2.1</t>
  </si>
  <si>
    <t>Export serveur</t>
  </si>
  <si>
    <t>Ajout d'un module dédié à l'export du fichier Planning vers le serveur d'entreprise</t>
  </si>
  <si>
    <t>Protection de l'action par mot de passe "UpDate"</t>
  </si>
  <si>
    <t>Module "Export_Serveur"</t>
  </si>
  <si>
    <t>Archivage local automatique daté avant chaque export</t>
  </si>
  <si>
    <t>Dossier "Archives"</t>
  </si>
  <si>
    <t>Ecrasement du fichier existant sur le serveur à chaque export</t>
  </si>
  <si>
    <t>Vérification de l'accessibilité du serveur avant export</t>
  </si>
  <si>
    <t>\\scmaas01\Partage\BOLO_Files\01_Administration\02_Personnel BO\01_Personnel fixe\03_Planning\</t>
  </si>
  <si>
    <t>Réorganisation du visuel global</t>
  </si>
  <si>
    <t>Vaox5-D 1</t>
  </si>
  <si>
    <t>V_1.2.2</t>
  </si>
  <si>
    <t>Impression &amp; Statistiques</t>
  </si>
  <si>
    <t>Vérification anti-double incrément des statistiques lors de l'impression</t>
  </si>
  <si>
    <t>Date_print enregistré uniquement lors d'une impression validée</t>
  </si>
  <si>
    <t>Plage nommée : Date_print</t>
  </si>
  <si>
    <t>Dossiers année/mois basés sur la date du planning</t>
  </si>
  <si>
    <t>Archivage PDF</t>
  </si>
  <si>
    <t>Nom du fichier PDF basé sur le timestamp d'impression</t>
  </si>
  <si>
    <t>Refactoring</t>
  </si>
  <si>
    <t>Mem() renommé en InitFeuilles() et passé en Private</t>
  </si>
  <si>
    <t>Commande_Bouton.bas</t>
  </si>
  <si>
    <t>Appel incrementStats remplacé par Planning.MettreAJourStatistiques</t>
  </si>
  <si>
    <t>MettreAJourStatistiques passée de Private à Public</t>
  </si>
  <si>
    <t>Planning.bas</t>
  </si>
  <si>
    <t>\\scmaas01\Partage\BOLO_Files\01_Administration\02_Personnel BO\01_Personnel fixe\03_Planning\Archives</t>
  </si>
  <si>
    <t>README</t>
  </si>
  <si>
    <t>Ajout d'un text explicatif du projet dans le classeur excel</t>
  </si>
  <si>
    <t>Exportation de la feuille README en .txt dans le dossier serveur à chaque exportation d'une nouvel version</t>
  </si>
  <si>
    <t>Feuille "README"</t>
  </si>
  <si>
    <t>Prompt ia</t>
  </si>
  <si>
    <t>Feuille "Prompt_IA"</t>
  </si>
  <si>
    <t>Ajout d'un prompt permettant à une Intelligence Artificiel de comprendre et de collaborer au projet du Planning Automatisé</t>
  </si>
  <si>
    <t>Exportation de la feuille "Prompt_IA" en .txt dans le dossier serveur à chaque exportation d'une nouvel version</t>
  </si>
  <si>
    <t>ChatGPT, GPT-5.1</t>
  </si>
  <si>
    <t>ID</t>
  </si>
  <si>
    <t>Statut</t>
  </si>
  <si>
    <t>Type</t>
  </si>
  <si>
    <t>Groupe</t>
  </si>
  <si>
    <t>P1</t>
  </si>
  <si>
    <t>P2</t>
  </si>
  <si>
    <t>P3</t>
  </si>
  <si>
    <t>Vaox1</t>
  </si>
  <si>
    <t>Stats_A</t>
  </si>
  <si>
    <t>Stats_B</t>
  </si>
  <si>
    <t>Stats_C</t>
  </si>
  <si>
    <t>Stats_D</t>
  </si>
  <si>
    <t>Stats_Vaox1</t>
  </si>
  <si>
    <t>Stats_EXP</t>
  </si>
  <si>
    <t>ID_Personne</t>
  </si>
  <si>
    <t>Date_Debut</t>
  </si>
  <si>
    <t>Date_Fin</t>
  </si>
  <si>
    <t>ID_Absent</t>
  </si>
  <si>
    <t>Nom_Absent</t>
  </si>
  <si>
    <t>ID_Remplaçant</t>
  </si>
  <si>
    <t>Nom_Remplaçant</t>
  </si>
  <si>
    <t>MàJ statistique le :</t>
  </si>
  <si>
    <t>Aux ON</t>
  </si>
  <si>
    <t>OP001</t>
  </si>
  <si>
    <t>Actif</t>
  </si>
  <si>
    <t>Fixe</t>
  </si>
  <si>
    <t>-</t>
  </si>
  <si>
    <t>M</t>
  </si>
  <si>
    <t>OP002</t>
  </si>
  <si>
    <t>J</t>
  </si>
  <si>
    <t>OP003</t>
  </si>
  <si>
    <t>OP004</t>
  </si>
  <si>
    <t>OP005</t>
  </si>
  <si>
    <t>OP006</t>
  </si>
  <si>
    <t>OP007</t>
  </si>
  <si>
    <t>OP008</t>
  </si>
  <si>
    <t>OP009</t>
  </si>
  <si>
    <t>OP010</t>
  </si>
  <si>
    <t>OP011</t>
  </si>
  <si>
    <t>OP012</t>
  </si>
  <si>
    <t>OP013</t>
  </si>
  <si>
    <t>Auxiliaire</t>
  </si>
  <si>
    <t>G1</t>
  </si>
  <si>
    <t>OP014</t>
  </si>
  <si>
    <t>OP015</t>
  </si>
  <si>
    <t>Da Costa Duarte Sarah</t>
  </si>
  <si>
    <t>OP016</t>
  </si>
  <si>
    <t>OP017</t>
  </si>
  <si>
    <t>OP018</t>
  </si>
  <si>
    <t>OP019</t>
  </si>
  <si>
    <t>OP020</t>
  </si>
  <si>
    <t>OP021</t>
  </si>
  <si>
    <t>Serra Esteban</t>
  </si>
  <si>
    <t>OP022</t>
  </si>
  <si>
    <t>OP023</t>
  </si>
  <si>
    <t>Stifani Lune</t>
  </si>
  <si>
    <t>OP024</t>
  </si>
  <si>
    <t>Zürcher Adèle</t>
  </si>
  <si>
    <t>OP025</t>
  </si>
  <si>
    <t>G2</t>
  </si>
  <si>
    <t>OP026</t>
  </si>
  <si>
    <t>OP027</t>
  </si>
  <si>
    <t>OP028</t>
  </si>
  <si>
    <t>OP029</t>
  </si>
  <si>
    <t>OP030</t>
  </si>
  <si>
    <t>OP031</t>
  </si>
  <si>
    <t>OP032</t>
  </si>
  <si>
    <t>OP033</t>
  </si>
  <si>
    <t>OP034</t>
  </si>
  <si>
    <t>OP035</t>
  </si>
  <si>
    <t>Vielle Jessy</t>
  </si>
  <si>
    <t>Nouvel An</t>
  </si>
  <si>
    <t>Fete de la Republique</t>
  </si>
  <si>
    <t>Vendredi Saint</t>
  </si>
  <si>
    <t>Calcule</t>
  </si>
  <si>
    <t>Lundi de Paques</t>
  </si>
  <si>
    <t>Fete du Travail</t>
  </si>
  <si>
    <t>Ascension</t>
  </si>
  <si>
    <t>Lundi de Pentecote</t>
  </si>
  <si>
    <t>Fete nationale</t>
  </si>
  <si>
    <t>Jeune federal</t>
  </si>
  <si>
    <t>Noel</t>
  </si>
  <si>
    <t>Manuel</t>
  </si>
  <si>
    <t>Maladie</t>
  </si>
  <si>
    <t>Fermeture</t>
  </si>
  <si>
    <t>lundi du 1er WE du G1</t>
  </si>
  <si>
    <t>OP036</t>
  </si>
  <si>
    <t>Ragot Flavio</t>
  </si>
  <si>
    <t>Archive</t>
  </si>
  <si>
    <t>Seuil_2pers</t>
  </si>
  <si>
    <t>Seuil_3pers</t>
  </si>
  <si>
    <t>Max</t>
  </si>
  <si>
    <t>V_1.2.3</t>
  </si>
  <si>
    <t>Documentation</t>
  </si>
  <si>
    <t>Section MODULES VBA du Prompt_IA.txt enrichie avec toutes les fonctions clés</t>
  </si>
  <si>
    <t>Export_Serveur.bas</t>
  </si>
  <si>
    <t>Section VERSION ajoutée avec fate dynamique</t>
  </si>
  <si>
    <t>Ordre d'affectation</t>
  </si>
  <si>
    <t>tri dynamique des machines Vaox5 par passage totaux des présents</t>
  </si>
  <si>
    <t>Vaox1 A&amp;B toujours en premier, Expedition toujours en dernier</t>
  </si>
  <si>
    <t>Affichage visuel inchangé : Vaox1 &gt; A &gt; B &gt; C &gt; D &gt; Expédition</t>
  </si>
  <si>
    <t>Nouvelle fonction SommePassageMachines()</t>
  </si>
  <si>
    <t>Modif_Manuelle</t>
  </si>
  <si>
    <t>Oui</t>
  </si>
  <si>
    <t>Weekend</t>
  </si>
  <si>
    <t>Ferie</t>
  </si>
  <si>
    <t>Non</t>
  </si>
  <si>
    <t>Fermeture entreprise</t>
  </si>
  <si>
    <t xml:space="preserve"> </t>
  </si>
  <si>
    <t>Ponts Ascencion</t>
  </si>
  <si>
    <t>V_2.0.0</t>
  </si>
  <si>
    <t>Architecture</t>
  </si>
  <si>
    <t>Fusion Horaire/Restrictions/Statistiques</t>
  </si>
  <si>
    <t>Feuille Personnel unique</t>
  </si>
  <si>
    <t>Nouvelle feuille Vacances</t>
  </si>
  <si>
    <t>Absence, congés, maladies</t>
  </si>
  <si>
    <t>Nouvelle feuille Feries</t>
  </si>
  <si>
    <t>Férié Neuchâtel + fermetures entreprise</t>
  </si>
  <si>
    <t>Nouvelle feuille Remplacements</t>
  </si>
  <si>
    <t>Remplacement des auxiliaires</t>
  </si>
  <si>
    <t>Nouvelle feuille Groupes</t>
  </si>
  <si>
    <t>Calendrier G1/G2
Tableau Dates_Groupes</t>
  </si>
  <si>
    <t>Nouvelle feuille Prametres</t>
  </si>
  <si>
    <t>Tableau Tbl_Parametres</t>
  </si>
  <si>
    <t>Toutes les écritures via ListObject.ListRows.Add</t>
  </si>
  <si>
    <t>Jamais ws.Cells</t>
  </si>
  <si>
    <t>Module_Constantes</t>
  </si>
  <si>
    <t>Nouveau Module</t>
  </si>
  <si>
    <t>Centralise tous les noms de feuilles et tableaux</t>
  </si>
  <si>
    <t>Module_Types</t>
  </si>
  <si>
    <t>Nouveau module</t>
  </si>
  <si>
    <t>Fériés Neuchâtel, fermetures, grille calendrier</t>
  </si>
  <si>
    <t>Type public JourCalendrier</t>
  </si>
  <si>
    <t>Module_Feries</t>
  </si>
  <si>
    <t>Module_Groupe</t>
  </si>
  <si>
    <t>Groupe G1/G2 avec tournus annuel</t>
  </si>
  <si>
    <t>Module_StatsHebdo</t>
  </si>
  <si>
    <t>PDF stats hebdomadaires automatique chaque lundi</t>
  </si>
  <si>
    <t>Module_UserForm</t>
  </si>
  <si>
    <t>Logique métier de tous les onglets du UserForm</t>
  </si>
  <si>
    <t>Planning_Auto</t>
  </si>
  <si>
    <t>Gestion auxiliaires (weekends et jours fériés)</t>
  </si>
  <si>
    <t>Tri dynamique v1.2.3 : machine la moins dotée en premier</t>
  </si>
  <si>
    <t>Tirage aléatoire ex-aequo conservé</t>
  </si>
  <si>
    <t>Commande_Bouton</t>
  </si>
  <si>
    <t>Auto-save après impression et incrémentation des stats</t>
  </si>
  <si>
    <t>Appel automatique Module_StatsHebdo chaque lundi</t>
  </si>
  <si>
    <t>UserForm_GestionPersonnel</t>
  </si>
  <si>
    <t>Nouveau formulaire — 5 onglets complets</t>
  </si>
  <si>
    <t>Onglet Personnel</t>
  </si>
  <si>
    <t>Calendrier personnel avec couleurs horaire/absences</t>
  </si>
  <si>
    <t>Caption M/J sur les jours travaillés</t>
  </si>
  <si>
    <t>Double-clic : infos + ajout/suppression absence ou remplacement</t>
  </si>
  <si>
    <t>Bouton "Ajouter une absence" / "Enregistrer un remplacement"</t>
  </si>
  <si>
    <t>Impression fiche avec choix des sections</t>
  </si>
  <si>
    <t>Onglet Auxiliaires</t>
  </si>
  <si>
    <t>Calendrier G1/G2 avec attribution manuelle</t>
  </si>
  <si>
    <t>Date référence G1 modifiable depuis le UserForm</t>
  </si>
  <si>
    <t>Génération automatique des groupes avec tournus annuel</t>
  </si>
  <si>
    <t>Gestion des remplacements avec 2e ListBox</t>
  </si>
  <si>
    <t>Onglet Absences</t>
  </si>
  <si>
    <t>Deux ListBox — personnel + absences de la personne</t>
  </si>
  <si>
    <t>Fériés Neuchâtel + fermetures entreprise (rouge)</t>
  </si>
  <si>
    <t>Onglet Calendrier</t>
  </si>
  <si>
    <t>Synchronisé avec feuille Groupes</t>
  </si>
  <si>
    <t>Onglet Parametres</t>
  </si>
  <si>
    <t>Seuils machines et fermetures pilotables depuis le UserForm</t>
  </si>
  <si>
    <t>Export_Serveur</t>
  </si>
  <si>
    <t>Mise à jours des fichier pour la V2.0.0</t>
  </si>
  <si>
    <t>Divers</t>
  </si>
  <si>
    <t xml:space="preserve">Bug WE Ascension (4 jours) </t>
  </si>
  <si>
    <t>vérification manuelle recommandée</t>
  </si>
  <si>
    <t>Vacances</t>
  </si>
  <si>
    <t>OP037</t>
  </si>
  <si>
    <t>Dupont Michel</t>
  </si>
  <si>
    <t>Conge</t>
  </si>
  <si>
    <t>Ferie exceptionnel</t>
  </si>
  <si>
    <t>Effectif minimum</t>
  </si>
  <si>
    <t>Renfort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</si>
</sst>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_(* \(#,##0.00\);_(* &quot;-&quot;??_);_(@_)"/>
    <numFmt numFmtId="165" formatCode="0_ ;\-0\ "/>
    <numFmt numFmtId="166" formatCode="[h]:mm"/>
    <numFmt numFmtId="167" formatCode="dd\.mm\.yyyy"/>
  </numFmts>
  <fonts count="16" x14ac:knownFonts="1">
    <font>
      <sz val="11"/>
      <color theme="1"/>
      <name val="Calibri"/>
      <family val="2"/>
      <scheme val="minor"/>
    </font>
    <font>
      <sz val="11"/>
      <color theme="1"/>
      <name val="Calibri"/>
      <family val="2"/>
      <scheme val="minor"/>
    </font>
    <font>
      <b/>
      <sz val="16"/>
      <color theme="1"/>
      <name val="Calibri"/>
      <family val="2"/>
      <scheme val="minor"/>
    </font>
    <font>
      <sz val="10"/>
      <color theme="1"/>
      <name val="Arial"/>
      <family val="2"/>
    </font>
    <font>
      <sz val="10"/>
      <color theme="0"/>
      <name val="Arial"/>
      <family val="2"/>
    </font>
    <font>
      <sz val="12"/>
      <color theme="1"/>
      <name val="Arial"/>
      <family val="2"/>
    </font>
    <font>
      <sz val="12"/>
      <name val="Arial"/>
      <family val="2"/>
    </font>
    <font>
      <b/>
      <sz val="12"/>
      <name val="Arial"/>
      <family val="2"/>
    </font>
    <font>
      <b/>
      <sz val="12"/>
      <color theme="0"/>
      <name val="Arial"/>
      <family val="2"/>
    </font>
    <font>
      <b/>
      <sz val="12"/>
      <color theme="1"/>
      <name val="Arial"/>
      <family val="2"/>
    </font>
    <font>
      <b/>
      <sz val="16"/>
      <color theme="1"/>
      <name val="Arial"/>
      <family val="2"/>
    </font>
    <font>
      <sz val="11"/>
      <color rgb="FF000000"/>
      <name val="Calibri"/>
      <family val="2"/>
    </font>
    <font>
      <u/>
      <sz val="11"/>
      <color theme="10"/>
      <name val="Calibri"/>
      <family val="2"/>
      <scheme val="minor"/>
    </font>
    <font>
      <sz val="12"/>
      <name val="Calibri"/>
      <family val="2"/>
      <scheme val="minor"/>
    </font>
    <font>
      <sz val="12"/>
      <color theme="0"/>
      <name val="Arial"/>
      <family val="2"/>
    </font>
    <font>
      <b/>
      <sz val="11"/>
      <color theme="0"/>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4"/>
        <bgColor theme="4"/>
      </patternFill>
    </fill>
    <fill>
      <patternFill patternType="solid">
        <fgColor theme="0"/>
        <bgColor indexed="64"/>
      </patternFill>
    </fill>
    <fill>
      <patternFill patternType="solid">
        <fgColor theme="4" tint="0.79998168889431442"/>
        <bgColor theme="4" tint="0.79998168889431442"/>
      </patternFill>
    </fill>
  </fills>
  <borders count="21">
    <border>
      <left/>
      <right/>
      <top/>
      <bottom/>
      <diagonal/>
    </border>
    <border>
      <left style="thin">
        <color indexed="64"/>
      </left>
      <right style="thin">
        <color indexed="64"/>
      </right>
      <top style="thin">
        <color indexed="64"/>
      </top>
      <bottom style="thin">
        <color indexed="64"/>
      </bottom>
      <diagonal/>
    </border>
    <border>
      <left style="double">
        <color theme="4"/>
      </left>
      <right style="double">
        <color theme="4"/>
      </right>
      <top style="double">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rgb="FF000000"/>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164" fontId="1" fillId="0" borderId="0" applyFont="0" applyFill="0" applyBorder="0" applyAlignment="0" applyProtection="0"/>
    <xf numFmtId="0" fontId="12" fillId="0" borderId="0" applyNumberFormat="0" applyFill="0" applyBorder="0" applyAlignment="0" applyProtection="0"/>
  </cellStyleXfs>
  <cellXfs count="88">
    <xf numFmtId="0" fontId="0" fillId="0" borderId="0" xfId="0"/>
    <xf numFmtId="0" fontId="3" fillId="0" borderId="0" xfId="0" applyFont="1" applyAlignment="1">
      <alignment horizontal="left" vertical="center"/>
    </xf>
    <xf numFmtId="0" fontId="3" fillId="0" borderId="0" xfId="0" applyFont="1" applyAlignment="1">
      <alignment vertical="center"/>
    </xf>
    <xf numFmtId="0" fontId="3" fillId="0" borderId="0" xfId="0" applyFont="1" applyAlignment="1">
      <alignment horizontal="center" vertical="center"/>
    </xf>
    <xf numFmtId="0" fontId="5" fillId="0" borderId="0" xfId="0" applyFont="1" applyAlignment="1">
      <alignment horizontal="left" vertical="center"/>
    </xf>
    <xf numFmtId="0" fontId="7" fillId="0" borderId="0" xfId="0" applyFont="1" applyAlignment="1">
      <alignment horizontal="center" vertical="center"/>
    </xf>
    <xf numFmtId="0" fontId="7" fillId="0" borderId="0" xfId="0" applyFont="1" applyAlignment="1">
      <alignment vertical="center"/>
    </xf>
    <xf numFmtId="0" fontId="5" fillId="0" borderId="0" xfId="0" applyFont="1" applyAlignment="1">
      <alignment horizontal="center" vertical="center"/>
    </xf>
    <xf numFmtId="0" fontId="7" fillId="0" borderId="0" xfId="0" applyFont="1" applyBorder="1" applyAlignment="1">
      <alignment vertical="center"/>
    </xf>
    <xf numFmtId="0" fontId="8" fillId="0" borderId="0" xfId="0" applyFont="1" applyFill="1" applyBorder="1" applyAlignment="1">
      <alignment vertical="center"/>
    </xf>
    <xf numFmtId="0" fontId="8" fillId="3" borderId="3" xfId="0" applyFont="1" applyFill="1" applyBorder="1" applyAlignment="1">
      <alignment horizontal="left" vertical="center"/>
    </xf>
    <xf numFmtId="0" fontId="8" fillId="3" borderId="1" xfId="0" applyFont="1" applyFill="1" applyBorder="1" applyAlignment="1">
      <alignment horizontal="center" vertical="center"/>
    </xf>
    <xf numFmtId="0" fontId="8" fillId="0" borderId="0" xfId="0" applyFont="1" applyFill="1" applyBorder="1" applyAlignment="1">
      <alignment horizontal="center" vertical="center"/>
    </xf>
    <xf numFmtId="0" fontId="7" fillId="0" borderId="6" xfId="0" applyFont="1" applyBorder="1" applyAlignment="1">
      <alignment horizontal="left" vertical="center"/>
    </xf>
    <xf numFmtId="0" fontId="5" fillId="0" borderId="1" xfId="0" applyFont="1" applyBorder="1" applyAlignment="1">
      <alignment horizontal="center" vertical="center"/>
    </xf>
    <xf numFmtId="0" fontId="5" fillId="0" borderId="0" xfId="0" applyFont="1" applyFill="1" applyBorder="1" applyAlignment="1">
      <alignment horizontal="center" vertical="center"/>
    </xf>
    <xf numFmtId="0" fontId="7" fillId="0" borderId="3" xfId="0" applyFont="1" applyBorder="1" applyAlignment="1">
      <alignment horizontal="left" vertical="center"/>
    </xf>
    <xf numFmtId="0" fontId="6" fillId="0" borderId="1" xfId="0" applyFont="1" applyBorder="1" applyAlignment="1">
      <alignment horizontal="center" vertical="center"/>
    </xf>
    <xf numFmtId="0" fontId="9" fillId="0" borderId="1" xfId="0" applyFont="1" applyBorder="1" applyAlignment="1">
      <alignment horizontal="center" vertical="center"/>
    </xf>
    <xf numFmtId="0" fontId="9" fillId="0" borderId="0" xfId="0" applyFont="1" applyBorder="1" applyAlignment="1">
      <alignment horizontal="center" vertical="center"/>
    </xf>
    <xf numFmtId="0" fontId="9" fillId="0" borderId="0" xfId="0" applyFont="1" applyAlignment="1">
      <alignment horizontal="center" vertical="center"/>
    </xf>
    <xf numFmtId="0" fontId="8" fillId="3" borderId="1" xfId="0" applyFont="1" applyFill="1" applyBorder="1" applyAlignment="1">
      <alignment horizontal="center" vertical="center" wrapText="1"/>
    </xf>
    <xf numFmtId="0" fontId="8" fillId="3" borderId="1" xfId="0" applyFont="1" applyFill="1" applyBorder="1" applyAlignment="1">
      <alignment horizontal="left" vertical="center"/>
    </xf>
    <xf numFmtId="0" fontId="5" fillId="0" borderId="1" xfId="0" applyNumberFormat="1" applyFont="1" applyBorder="1" applyAlignment="1">
      <alignment horizontal="center" vertical="center"/>
    </xf>
    <xf numFmtId="165" fontId="9" fillId="0" borderId="1" xfId="1" applyNumberFormat="1" applyFont="1" applyBorder="1" applyAlignment="1">
      <alignment horizontal="center" vertical="center"/>
    </xf>
    <xf numFmtId="3" fontId="5" fillId="0" borderId="1" xfId="0" applyNumberFormat="1" applyFont="1" applyBorder="1" applyAlignment="1">
      <alignment horizontal="center" vertical="center"/>
    </xf>
    <xf numFmtId="1" fontId="9" fillId="0" borderId="1" xfId="0" applyNumberFormat="1" applyFont="1" applyBorder="1" applyAlignment="1">
      <alignment horizontal="center" vertical="center"/>
    </xf>
    <xf numFmtId="0" fontId="5" fillId="0" borderId="0" xfId="0" applyFont="1" applyBorder="1" applyAlignment="1">
      <alignment horizontal="center" vertical="center"/>
    </xf>
    <xf numFmtId="166" fontId="5" fillId="0" borderId="0" xfId="0" applyNumberFormat="1" applyFont="1" applyAlignment="1">
      <alignment horizontal="center" vertical="center"/>
    </xf>
    <xf numFmtId="0" fontId="10" fillId="0" borderId="0" xfId="0" applyFont="1" applyAlignment="1">
      <alignment horizontal="center"/>
    </xf>
    <xf numFmtId="0" fontId="10" fillId="0" borderId="0" xfId="0" applyFont="1" applyAlignment="1">
      <alignment vertical="center"/>
    </xf>
    <xf numFmtId="0" fontId="10" fillId="0" borderId="0" xfId="0" applyFont="1" applyAlignment="1">
      <alignment horizontal="center" vertical="center"/>
    </xf>
    <xf numFmtId="0" fontId="5" fillId="0" borderId="0" xfId="0" applyFont="1"/>
    <xf numFmtId="0" fontId="8" fillId="3" borderId="8" xfId="0" applyFont="1" applyFill="1" applyBorder="1" applyAlignment="1">
      <alignment horizontal="left" vertical="center"/>
    </xf>
    <xf numFmtId="0" fontId="9" fillId="0" borderId="9" xfId="0" applyFont="1" applyBorder="1" applyAlignment="1">
      <alignment horizontal="center" vertical="center"/>
    </xf>
    <xf numFmtId="0" fontId="5" fillId="0" borderId="9"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horizontal="left" vertical="center"/>
    </xf>
    <xf numFmtId="166" fontId="5" fillId="0" borderId="0" xfId="0" applyNumberFormat="1" applyFont="1" applyBorder="1" applyAlignment="1">
      <alignment horizontal="center" vertical="center"/>
    </xf>
    <xf numFmtId="166" fontId="5" fillId="0" borderId="12" xfId="0" applyNumberFormat="1" applyFont="1" applyBorder="1" applyAlignment="1">
      <alignment horizontal="center" vertical="center"/>
    </xf>
    <xf numFmtId="0" fontId="5" fillId="0" borderId="11" xfId="0" applyFont="1" applyBorder="1" applyAlignment="1">
      <alignment horizontal="center" vertical="center"/>
    </xf>
    <xf numFmtId="0" fontId="5" fillId="0" borderId="12" xfId="0" applyFont="1" applyBorder="1" applyAlignment="1">
      <alignment horizontal="center" vertical="center"/>
    </xf>
    <xf numFmtId="0" fontId="5" fillId="0" borderId="13" xfId="0" applyFont="1" applyBorder="1" applyAlignment="1">
      <alignment horizontal="left" vertical="center"/>
    </xf>
    <xf numFmtId="0" fontId="5" fillId="0" borderId="14" xfId="0" applyFont="1" applyBorder="1" applyAlignment="1">
      <alignment horizontal="center" vertical="center"/>
    </xf>
    <xf numFmtId="0" fontId="5" fillId="0" borderId="15" xfId="0" applyFont="1" applyBorder="1" applyAlignment="1">
      <alignment horizontal="center" vertical="center"/>
    </xf>
    <xf numFmtId="14" fontId="9" fillId="0" borderId="2" xfId="0" applyNumberFormat="1" applyFont="1" applyBorder="1" applyAlignment="1">
      <alignment horizontal="center" vertical="center"/>
    </xf>
    <xf numFmtId="0" fontId="8" fillId="3" borderId="0" xfId="0" applyFont="1" applyFill="1" applyBorder="1" applyAlignment="1">
      <alignment vertical="center"/>
    </xf>
    <xf numFmtId="0" fontId="7" fillId="0" borderId="0" xfId="0" applyFont="1" applyFill="1" applyBorder="1" applyAlignment="1">
      <alignment vertical="center"/>
    </xf>
    <xf numFmtId="0" fontId="0" fillId="0" borderId="0" xfId="0" applyAlignment="1">
      <alignment wrapText="1"/>
    </xf>
    <xf numFmtId="0" fontId="5" fillId="0" borderId="7" xfId="0" applyFont="1" applyBorder="1" applyAlignment="1">
      <alignment horizontal="center" vertical="center"/>
    </xf>
    <xf numFmtId="0" fontId="5" fillId="0" borderId="0" xfId="0" applyFont="1" applyBorder="1" applyAlignment="1">
      <alignment horizontal="left" vertical="center"/>
    </xf>
    <xf numFmtId="14" fontId="0" fillId="0" borderId="0" xfId="0" applyNumberFormat="1"/>
    <xf numFmtId="0" fontId="0" fillId="0" borderId="0" xfId="0" applyAlignment="1">
      <alignment horizontal="left" vertical="top" wrapText="1"/>
    </xf>
    <xf numFmtId="0" fontId="10" fillId="0" borderId="0" xfId="0" applyFont="1" applyFill="1" applyBorder="1" applyAlignment="1"/>
    <xf numFmtId="0" fontId="9" fillId="0" borderId="0" xfId="0" applyFont="1" applyBorder="1" applyAlignment="1">
      <alignment horizontal="left" vertical="center"/>
    </xf>
    <xf numFmtId="0" fontId="9" fillId="0" borderId="0" xfId="0" quotePrefix="1" applyFont="1" applyAlignment="1">
      <alignment horizontal="center" vertical="center"/>
    </xf>
    <xf numFmtId="0" fontId="0" fillId="2" borderId="0" xfId="0" applyFill="1"/>
    <xf numFmtId="0" fontId="0" fillId="2" borderId="0" xfId="0" applyFill="1" applyAlignment="1">
      <alignment wrapText="1"/>
    </xf>
    <xf numFmtId="0" fontId="0" fillId="2" borderId="0" xfId="0" applyFill="1" applyAlignment="1">
      <alignment horizontal="left" vertical="top" wrapText="1"/>
    </xf>
    <xf numFmtId="0" fontId="12" fillId="2" borderId="0" xfId="2" applyFill="1" applyAlignment="1">
      <alignment horizontal="left" vertical="top" wrapText="1"/>
    </xf>
    <xf numFmtId="166" fontId="9" fillId="0" borderId="0" xfId="0" applyNumberFormat="1" applyFont="1" applyAlignment="1">
      <alignment horizontal="center" vertical="center"/>
    </xf>
    <xf numFmtId="22" fontId="5" fillId="0" borderId="0" xfId="0" applyNumberFormat="1" applyFont="1" applyAlignment="1">
      <alignment horizontal="center" vertical="center"/>
    </xf>
    <xf numFmtId="0" fontId="6" fillId="0" borderId="5" xfId="0" applyFont="1" applyBorder="1" applyAlignment="1">
      <alignment vertical="center"/>
    </xf>
    <xf numFmtId="0" fontId="5" fillId="0" borderId="5" xfId="0" applyFont="1" applyBorder="1" applyAlignment="1">
      <alignment horizontal="center" vertical="center"/>
    </xf>
    <xf numFmtId="0" fontId="5" fillId="0" borderId="3" xfId="0" applyFont="1" applyBorder="1" applyAlignment="1">
      <alignment horizontal="center" vertical="center"/>
    </xf>
    <xf numFmtId="0" fontId="8" fillId="4" borderId="16" xfId="0" applyFont="1" applyFill="1" applyBorder="1" applyAlignment="1">
      <alignment vertical="center"/>
    </xf>
    <xf numFmtId="0" fontId="8" fillId="4" borderId="6" xfId="0" applyFont="1" applyFill="1" applyBorder="1" applyAlignment="1">
      <alignment horizontal="center" vertical="center"/>
    </xf>
    <xf numFmtId="0" fontId="9" fillId="0" borderId="17" xfId="0" applyFont="1" applyBorder="1" applyAlignment="1">
      <alignment vertical="center"/>
    </xf>
    <xf numFmtId="0" fontId="5" fillId="0" borderId="18" xfId="0" applyFont="1" applyBorder="1" applyAlignment="1">
      <alignment horizontal="center" vertical="center"/>
    </xf>
    <xf numFmtId="0" fontId="6" fillId="0" borderId="19" xfId="0" applyFont="1" applyBorder="1" applyAlignment="1">
      <alignment vertical="center"/>
    </xf>
    <xf numFmtId="0" fontId="6" fillId="0" borderId="3" xfId="0" applyFont="1" applyBorder="1" applyAlignment="1">
      <alignment horizontal="center" vertical="center"/>
    </xf>
    <xf numFmtId="0" fontId="12" fillId="0" borderId="0" xfId="2" applyAlignment="1">
      <alignment horizontal="left" vertical="top" wrapText="1"/>
    </xf>
    <xf numFmtId="0" fontId="0" fillId="0" borderId="0" xfId="0" applyAlignment="1"/>
    <xf numFmtId="167" fontId="0" fillId="0" borderId="0" xfId="0" applyNumberFormat="1"/>
    <xf numFmtId="0" fontId="4" fillId="0" borderId="0" xfId="0" applyFont="1" applyFill="1" applyAlignment="1">
      <alignment vertical="center"/>
    </xf>
    <xf numFmtId="14" fontId="4" fillId="0" borderId="0" xfId="0" applyNumberFormat="1" applyFont="1" applyFill="1" applyAlignment="1">
      <alignment horizontal="center" vertical="center"/>
    </xf>
    <xf numFmtId="0" fontId="6" fillId="0" borderId="17" xfId="0" applyFont="1" applyBorder="1" applyAlignment="1">
      <alignment vertical="center"/>
    </xf>
    <xf numFmtId="0" fontId="6" fillId="0" borderId="18" xfId="0" applyFont="1" applyBorder="1" applyAlignment="1">
      <alignment horizontal="center" vertical="center"/>
    </xf>
    <xf numFmtId="0" fontId="6" fillId="0" borderId="0" xfId="0" applyFont="1" applyBorder="1" applyAlignment="1">
      <alignment vertical="center"/>
    </xf>
    <xf numFmtId="0" fontId="6" fillId="0" borderId="0" xfId="0" applyFont="1" applyBorder="1" applyAlignment="1">
      <alignment horizontal="center" vertical="center"/>
    </xf>
    <xf numFmtId="0" fontId="13" fillId="5" borderId="1" xfId="0" applyFont="1" applyFill="1" applyBorder="1" applyAlignment="1">
      <alignment horizontal="left" vertical="center"/>
    </xf>
    <xf numFmtId="14" fontId="14" fillId="0" borderId="0" xfId="0" applyNumberFormat="1" applyFont="1" applyFill="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8" fillId="3" borderId="5" xfId="0" applyFont="1" applyFill="1" applyBorder="1" applyAlignment="1">
      <alignment horizontal="center" vertical="center"/>
    </xf>
    <xf numFmtId="0" fontId="2" fillId="0" borderId="0" xfId="0" applyFont="1" applyAlignment="1">
      <alignment horizontal="center" vertical="center"/>
    </xf>
    <xf numFmtId="0" fontId="15" fillId="4" borderId="20" xfId="0" applyFont="1" applyFill="1" applyBorder="1"/>
    <xf numFmtId="0" fontId="0" fillId="6" borderId="20" xfId="0" applyFont="1" applyFill="1" applyBorder="1"/>
  </cellXfs>
  <cellStyles count="3">
    <cellStyle name="Lien hypertexte" xfId="2" builtinId="8"/>
    <cellStyle name="Milliers" xfId="1" builtinId="3"/>
    <cellStyle name="Normal" xfId="0" builtinId="0"/>
  </cellStyles>
  <dxfs count="36">
    <dxf>
      <fill>
        <patternFill>
          <bgColor theme="9" tint="0.59996337778862885"/>
        </patternFill>
      </fill>
    </dxf>
    <dxf>
      <fill>
        <patternFill>
          <bgColor theme="8" tint="0.59996337778862885"/>
        </patternFill>
      </fill>
    </dxf>
    <dxf>
      <fill>
        <patternFill>
          <bgColor theme="7" tint="0.59996337778862885"/>
        </patternFill>
      </fill>
    </dxf>
    <dxf>
      <fill>
        <patternFill>
          <bgColor theme="5" tint="0.59996337778862885"/>
        </patternFill>
      </fill>
    </dxf>
    <dxf>
      <fill>
        <patternFill>
          <bgColor theme="0" tint="-0.14996795556505021"/>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5" tint="0.59996337778862885"/>
        </patternFill>
      </fill>
    </dxf>
    <dxf>
      <fill>
        <patternFill>
          <bgColor theme="0" tint="-0.14996795556505021"/>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5" tint="0.59996337778862885"/>
        </patternFill>
      </fill>
    </dxf>
    <dxf>
      <fill>
        <patternFill>
          <bgColor theme="0" tint="-0.14996795556505021"/>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5" tint="0.59996337778862885"/>
        </patternFill>
      </fill>
    </dxf>
    <dxf>
      <fill>
        <patternFill>
          <bgColor theme="0" tint="-0.14996795556505021"/>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5" tint="0.59996337778862885"/>
        </patternFill>
      </fill>
    </dxf>
    <dxf>
      <fill>
        <patternFill>
          <bgColor theme="0" tint="-0.14996795556505021"/>
        </patternFill>
      </fill>
    </dxf>
    <dxf>
      <numFmt numFmtId="167" formatCode="dd\.mm\.yyyy"/>
    </dxf>
    <dxf>
      <font>
        <b val="0"/>
        <i val="0"/>
        <strike val="0"/>
        <condense val="0"/>
        <extend val="0"/>
        <outline val="0"/>
        <shadow val="0"/>
        <u val="none"/>
        <vertAlign val="baseline"/>
        <sz val="12"/>
        <color auto="1"/>
        <name val="Arial"/>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Arial"/>
        <scheme val="none"/>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rgb="FF000000"/>
        </left>
        <right style="thin">
          <color indexed="64"/>
        </right>
        <top style="thin">
          <color rgb="FF000000"/>
        </top>
      </border>
    </dxf>
    <dxf>
      <border outline="0">
        <bottom style="thin">
          <color indexed="64"/>
        </bottom>
      </border>
    </dxf>
    <dxf>
      <font>
        <b val="0"/>
        <i val="0"/>
        <strike val="0"/>
        <condense val="0"/>
        <extend val="0"/>
        <outline val="0"/>
        <shadow val="0"/>
        <u val="none"/>
        <vertAlign val="baseline"/>
        <sz val="12"/>
        <color theme="1"/>
        <name val="Arial"/>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Arial"/>
        <scheme val="none"/>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s>
  <tableStyles count="0" defaultTableStyle="TableStyleMedium2" defaultPivotStyle="PivotStyleLight16"/>
  <colors>
    <mruColors>
      <color rgb="FFFFD1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H"/>
              <a:t>Production</a:t>
            </a:r>
            <a:r>
              <a:rPr lang="fr-CH" baseline="0"/>
              <a:t> journalière</a:t>
            </a:r>
            <a:endParaRPr lang="fr-CH"/>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1"/>
        <c:ser>
          <c:idx val="0"/>
          <c:order val="0"/>
          <c:invertIfNegative val="0"/>
          <c:dPt>
            <c:idx val="0"/>
            <c:invertIfNegative val="0"/>
            <c:bubble3D val="0"/>
            <c:spPr>
              <a:solidFill>
                <a:schemeClr val="bg1">
                  <a:lumMod val="75000"/>
                </a:schemeClr>
              </a:solidFill>
              <a:ln>
                <a:noFill/>
              </a:ln>
              <a:effectLst/>
              <a:sp3d/>
            </c:spPr>
            <c:extLst>
              <c:ext xmlns:c16="http://schemas.microsoft.com/office/drawing/2014/chart" uri="{C3380CC4-5D6E-409C-BE32-E72D297353CC}">
                <c16:uniqueId val="{00000004-9682-4080-B483-DB80C9EB46C3}"/>
              </c:ext>
            </c:extLst>
          </c:dPt>
          <c:dPt>
            <c:idx val="1"/>
            <c:invertIfNegative val="0"/>
            <c:bubble3D val="0"/>
            <c:spPr>
              <a:solidFill>
                <a:schemeClr val="bg1">
                  <a:lumMod val="75000"/>
                </a:schemeClr>
              </a:solidFill>
              <a:ln>
                <a:noFill/>
              </a:ln>
              <a:effectLst/>
              <a:sp3d/>
            </c:spPr>
            <c:extLst>
              <c:ext xmlns:c16="http://schemas.microsoft.com/office/drawing/2014/chart" uri="{C3380CC4-5D6E-409C-BE32-E72D297353CC}">
                <c16:uniqueId val="{00000005-9682-4080-B483-DB80C9EB46C3}"/>
              </c:ext>
            </c:extLst>
          </c:dPt>
          <c:dPt>
            <c:idx val="2"/>
            <c:invertIfNegative val="0"/>
            <c:bubble3D val="0"/>
            <c:spPr>
              <a:solidFill>
                <a:schemeClr val="accent6">
                  <a:lumMod val="60000"/>
                  <a:lumOff val="40000"/>
                </a:schemeClr>
              </a:solidFill>
              <a:ln>
                <a:noFill/>
              </a:ln>
              <a:effectLst/>
              <a:sp3d/>
            </c:spPr>
            <c:extLst>
              <c:ext xmlns:c16="http://schemas.microsoft.com/office/drawing/2014/chart" uri="{C3380CC4-5D6E-409C-BE32-E72D297353CC}">
                <c16:uniqueId val="{00000003-9682-4080-B483-DB80C9EB46C3}"/>
              </c:ext>
            </c:extLst>
          </c:dPt>
          <c:dPt>
            <c:idx val="3"/>
            <c:invertIfNegative val="0"/>
            <c:bubble3D val="0"/>
            <c:spPr>
              <a:solidFill>
                <a:schemeClr val="accent5">
                  <a:lumMod val="60000"/>
                  <a:lumOff val="40000"/>
                </a:schemeClr>
              </a:solidFill>
              <a:ln>
                <a:noFill/>
              </a:ln>
              <a:effectLst/>
              <a:sp3d/>
            </c:spPr>
            <c:extLst>
              <c:ext xmlns:c16="http://schemas.microsoft.com/office/drawing/2014/chart" uri="{C3380CC4-5D6E-409C-BE32-E72D297353CC}">
                <c16:uniqueId val="{00000002-9682-4080-B483-DB80C9EB46C3}"/>
              </c:ext>
            </c:extLst>
          </c:dPt>
          <c:dPt>
            <c:idx val="4"/>
            <c:invertIfNegative val="0"/>
            <c:bubble3D val="0"/>
            <c:spPr>
              <a:solidFill>
                <a:schemeClr val="accent4">
                  <a:lumMod val="60000"/>
                  <a:lumOff val="40000"/>
                </a:schemeClr>
              </a:solidFill>
              <a:ln>
                <a:noFill/>
              </a:ln>
              <a:effectLst/>
              <a:sp3d/>
            </c:spPr>
            <c:extLst>
              <c:ext xmlns:c16="http://schemas.microsoft.com/office/drawing/2014/chart" uri="{C3380CC4-5D6E-409C-BE32-E72D297353CC}">
                <c16:uniqueId val="{00000000-9682-4080-B483-DB80C9EB46C3}"/>
              </c:ext>
            </c:extLst>
          </c:dPt>
          <c:dPt>
            <c:idx val="5"/>
            <c:invertIfNegative val="0"/>
            <c:bubble3D val="0"/>
            <c:spPr>
              <a:solidFill>
                <a:schemeClr val="accent2">
                  <a:lumMod val="60000"/>
                  <a:lumOff val="40000"/>
                </a:schemeClr>
              </a:solidFill>
              <a:ln>
                <a:noFill/>
              </a:ln>
              <a:effectLst/>
              <a:sp3d/>
            </c:spPr>
            <c:extLst>
              <c:ext xmlns:c16="http://schemas.microsoft.com/office/drawing/2014/chart" uri="{C3380CC4-5D6E-409C-BE32-E72D297353CC}">
                <c16:uniqueId val="{00000001-9682-4080-B483-DB80C9EB46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'Planning journalier'!$A$7:$A$12</c:f>
              <c:strCache>
                <c:ptCount val="6"/>
                <c:pt idx="0">
                  <c:v>VaoX1-A</c:v>
                </c:pt>
                <c:pt idx="1">
                  <c:v>VaoX1-B</c:v>
                </c:pt>
                <c:pt idx="2">
                  <c:v>VaoX5-A</c:v>
                </c:pt>
                <c:pt idx="3">
                  <c:v>VaoX5-B</c:v>
                </c:pt>
                <c:pt idx="4">
                  <c:v>VaoX5-C</c:v>
                </c:pt>
                <c:pt idx="5">
                  <c:v>VaoX5-D</c:v>
                </c:pt>
              </c:strCache>
            </c:strRef>
          </c:cat>
          <c:val>
            <c:numRef>
              <c:f>'Planning journalier'!$B$7:$B$12</c:f>
              <c:numCache>
                <c:formatCode>General</c:formatCode>
                <c:ptCount val="6"/>
                <c:pt idx="0">
                  <c:v>15</c:v>
                </c:pt>
                <c:pt idx="1">
                  <c:v>13</c:v>
                </c:pt>
                <c:pt idx="2">
                  <c:v>11682</c:v>
                </c:pt>
                <c:pt idx="3">
                  <c:v>11988</c:v>
                </c:pt>
                <c:pt idx="4">
                  <c:v>2500</c:v>
                </c:pt>
                <c:pt idx="5">
                  <c:v>3117</c:v>
                </c:pt>
              </c:numCache>
            </c:numRef>
          </c:val>
          <c:extLst>
            <c:ext xmlns:c16="http://schemas.microsoft.com/office/drawing/2014/chart" uri="{C3380CC4-5D6E-409C-BE32-E72D297353CC}">
              <c16:uniqueId val="{00000000-AA12-4DBE-96FD-E7BF1EAFF6E9}"/>
            </c:ext>
          </c:extLst>
        </c:ser>
        <c:dLbls>
          <c:showLegendKey val="0"/>
          <c:showVal val="0"/>
          <c:showCatName val="0"/>
          <c:showSerName val="0"/>
          <c:showPercent val="0"/>
          <c:showBubbleSize val="0"/>
        </c:dLbls>
        <c:gapWidth val="150"/>
        <c:shape val="box"/>
        <c:axId val="610602240"/>
        <c:axId val="610604208"/>
        <c:axId val="0"/>
      </c:bar3DChart>
      <c:catAx>
        <c:axId val="6106022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10604208"/>
        <c:crosses val="autoZero"/>
        <c:auto val="1"/>
        <c:lblAlgn val="ctr"/>
        <c:lblOffset val="100"/>
        <c:noMultiLvlLbl val="0"/>
      </c:catAx>
      <c:valAx>
        <c:axId val="610604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10602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23</xdr:row>
      <xdr:rowOff>95250</xdr:rowOff>
    </xdr:from>
    <xdr:to>
      <xdr:col>4</xdr:col>
      <xdr:colOff>0</xdr:colOff>
      <xdr:row>38</xdr:row>
      <xdr:rowOff>95251</xdr:rowOff>
    </xdr:to>
    <xdr:graphicFrame macro="">
      <xdr:nvGraphicFramePr>
        <xdr:cNvPr id="3" name="Graphique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19050</xdr:colOff>
          <xdr:row>34</xdr:row>
          <xdr:rowOff>9525</xdr:rowOff>
        </xdr:from>
        <xdr:to>
          <xdr:col>5</xdr:col>
          <xdr:colOff>1638300</xdr:colOff>
          <xdr:row>35</xdr:row>
          <xdr:rowOff>200025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Générer Planning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36</xdr:row>
          <xdr:rowOff>19050</xdr:rowOff>
        </xdr:from>
        <xdr:to>
          <xdr:col>5</xdr:col>
          <xdr:colOff>1628775</xdr:colOff>
          <xdr:row>37</xdr:row>
          <xdr:rowOff>190500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2</xdr:row>
          <xdr:rowOff>19050</xdr:rowOff>
        </xdr:from>
        <xdr:to>
          <xdr:col>3</xdr:col>
          <xdr:colOff>838200</xdr:colOff>
          <xdr:row>3</xdr:row>
          <xdr:rowOff>180975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847725</xdr:colOff>
          <xdr:row>0</xdr:row>
          <xdr:rowOff>0</xdr:rowOff>
        </xdr:from>
        <xdr:to>
          <xdr:col>4</xdr:col>
          <xdr:colOff>0</xdr:colOff>
          <xdr:row>3</xdr:row>
          <xdr:rowOff>180975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19050</xdr:rowOff>
        </xdr:from>
        <xdr:to>
          <xdr:col>2</xdr:col>
          <xdr:colOff>542925</xdr:colOff>
          <xdr:row>3</xdr:row>
          <xdr:rowOff>180975</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36</xdr:row>
          <xdr:rowOff>0</xdr:rowOff>
        </xdr:from>
        <xdr:to>
          <xdr:col>7</xdr:col>
          <xdr:colOff>9525</xdr:colOff>
          <xdr:row>37</xdr:row>
          <xdr:rowOff>200025</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Gestion du personnel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cirulli\Documents\NC\plan%20jour_nic.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ncirulli\Documents\Tableau%20de%20bord%20journalier%20septembr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euil1"/>
      <sheetName val="Feuil2"/>
    </sheetNames>
    <sheetDataSet>
      <sheetData sheetId="0"/>
      <sheetData sheetId="1">
        <row r="1">
          <cell r="B1" t="str">
            <v>Lundi</v>
          </cell>
        </row>
        <row r="2">
          <cell r="B2" t="str">
            <v>Mardi</v>
          </cell>
        </row>
        <row r="3">
          <cell r="B3" t="str">
            <v>Mercredi</v>
          </cell>
        </row>
        <row r="4">
          <cell r="B4" t="str">
            <v>Jeudi</v>
          </cell>
        </row>
        <row r="5">
          <cell r="B5" t="str">
            <v>Vendredi</v>
          </cell>
        </row>
        <row r="6">
          <cell r="B6" t="str">
            <v>Samedi</v>
          </cell>
        </row>
        <row r="7">
          <cell r="B7" t="str">
            <v>Dimanche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09.2025"/>
      <sheetName val="Listes"/>
    </sheetNames>
    <sheetDataSet>
      <sheetData sheetId="0"/>
      <sheetData sheetId="1">
        <row r="2">
          <cell r="A2" t="str">
            <v>Vaox5-A</v>
          </cell>
          <cell r="B2" t="str">
            <v>Lundi</v>
          </cell>
          <cell r="C2" t="str">
            <v>Christophe</v>
          </cell>
        </row>
        <row r="3">
          <cell r="A3" t="str">
            <v>Vaox5-B</v>
          </cell>
          <cell r="B3" t="str">
            <v>Mardi</v>
          </cell>
          <cell r="C3" t="str">
            <v>Joakim</v>
          </cell>
        </row>
        <row r="4">
          <cell r="A4" t="str">
            <v>Vaox5-C</v>
          </cell>
          <cell r="B4" t="str">
            <v>Mercredi</v>
          </cell>
          <cell r="C4" t="str">
            <v>Pierluigi</v>
          </cell>
        </row>
        <row r="5">
          <cell r="A5" t="str">
            <v>Vaox5-D</v>
          </cell>
          <cell r="B5" t="str">
            <v>Jeudi</v>
          </cell>
          <cell r="C5" t="str">
            <v>Nicola</v>
          </cell>
        </row>
        <row r="6">
          <cell r="A6" t="str">
            <v>Vaox1-A</v>
          </cell>
          <cell r="B6" t="str">
            <v>Vendredi</v>
          </cell>
        </row>
        <row r="7">
          <cell r="A7" t="str">
            <v>Vaox1-B</v>
          </cell>
          <cell r="B7" t="str">
            <v>Samedi</v>
          </cell>
        </row>
        <row r="8">
          <cell r="A8" t="str">
            <v>Akatech</v>
          </cell>
          <cell r="B8" t="str">
            <v>Dimanche</v>
          </cell>
        </row>
        <row r="9">
          <cell r="A9" t="str">
            <v>Armage E0</v>
          </cell>
        </row>
        <row r="10">
          <cell r="A10" t="str">
            <v>Distribution</v>
          </cell>
        </row>
        <row r="11">
          <cell r="A11" t="str">
            <v>Divers</v>
          </cell>
        </row>
        <row r="12">
          <cell r="A12" t="str">
            <v>Formation</v>
          </cell>
        </row>
        <row r="13">
          <cell r="A13" t="str">
            <v>Piquet 1</v>
          </cell>
        </row>
        <row r="14">
          <cell r="A14" t="str">
            <v>Piquet 2</v>
          </cell>
        </row>
      </sheetData>
    </sheetDataSet>
  </externalBook>
</externalLink>
</file>

<file path=xl/tables/table1.xml><?xml version="1.0" encoding="utf-8"?>
<table xmlns="http://schemas.openxmlformats.org/spreadsheetml/2006/main" id="3" name="Planning_Matin" displayName="Planning_Matin" ref="F5:G20" totalsRowShown="0" headerRowBorderDxfId="35" tableBorderDxfId="34" totalsRowBorderDxfId="33">
  <autoFilter ref="F5:G20"/>
  <tableColumns count="2">
    <tableColumn id="1" name="Nom" dataDxfId="32"/>
    <tableColumn id="2" name="Poste" dataDxfId="31"/>
  </tableColumns>
  <tableStyleInfo name="TableStyleMedium2" showFirstColumn="0" showLastColumn="0" showRowStripes="1" showColumnStripes="0"/>
</table>
</file>

<file path=xl/tables/table2.xml><?xml version="1.0" encoding="utf-8"?>
<table xmlns="http://schemas.openxmlformats.org/spreadsheetml/2006/main" id="4" name="Planning_ApresMidi" displayName="Planning_ApresMidi" ref="F23:G26" totalsRowShown="0" headerRowBorderDxfId="30" tableBorderDxfId="29" totalsRowBorderDxfId="28">
  <autoFilter ref="F23:G26"/>
  <tableColumns count="2">
    <tableColumn id="1" name="Nom" dataDxfId="27"/>
    <tableColumn id="2" name="Post" dataDxfId="26"/>
  </tableColumns>
  <tableStyleInfo name="TableStyleMedium2" showFirstColumn="0" showLastColumn="0" showRowStripes="1" showColumnStripes="0"/>
</table>
</file>

<file path=xl/tables/table3.xml><?xml version="1.0" encoding="utf-8"?>
<table xmlns="http://schemas.openxmlformats.org/spreadsheetml/2006/main" id="5" name="Tbl_Personnel" displayName="Tbl_Personnel" ref="A1:W38" totalsRowShown="0">
  <autoFilter ref="A1:W38">
    <filterColumn colId="2">
      <filters>
        <filter val="Actif"/>
      </filters>
    </filterColumn>
  </autoFilter>
  <tableColumns count="23">
    <tableColumn id="1" name="ID"/>
    <tableColumn id="2" name="Nom"/>
    <tableColumn id="3" name="Statut"/>
    <tableColumn id="4" name="Type"/>
    <tableColumn id="5" name="Groupe"/>
    <tableColumn id="6" name="Lundi"/>
    <tableColumn id="7" name="Mardi"/>
    <tableColumn id="8" name="Mercredi"/>
    <tableColumn id="9" name="Jeudi"/>
    <tableColumn id="10" name="Vendredi"/>
    <tableColumn id="11" name="Samedi"/>
    <tableColumn id="12" name="Dimanche"/>
    <tableColumn id="13" name="P1"/>
    <tableColumn id="14" name="P2"/>
    <tableColumn id="15" name="P3"/>
    <tableColumn id="16" name="D"/>
    <tableColumn id="17" name="Vaox1"/>
    <tableColumn id="18" name="Stats_A"/>
    <tableColumn id="19" name="Stats_B"/>
    <tableColumn id="20" name="Stats_C"/>
    <tableColumn id="21" name="Stats_D"/>
    <tableColumn id="22" name="Stats_Vaox1"/>
    <tableColumn id="23" name="Stats_EXP"/>
  </tableColumns>
  <tableStyleInfo name="TableStyleMedium2" showFirstColumn="0" showLastColumn="0" showRowStripes="1" showColumnStripes="0"/>
</table>
</file>

<file path=xl/tables/table4.xml><?xml version="1.0" encoding="utf-8"?>
<table xmlns="http://schemas.openxmlformats.org/spreadsheetml/2006/main" id="6" name="Tbl_Vacances" displayName="Tbl_Vacances" ref="A1:E2" insertRow="1" totalsRowShown="0">
  <autoFilter ref="A1:E2"/>
  <sortState ref="A2:E9">
    <sortCondition ref="C1:C9"/>
  </sortState>
  <tableColumns count="5">
    <tableColumn id="1" name="ID_Personne"/>
    <tableColumn id="2" name="Nom"/>
    <tableColumn id="3" name="Date_Debut"/>
    <tableColumn id="4" name="Date_Fin"/>
    <tableColumn id="5" name="Type"/>
  </tableColumns>
  <tableStyleInfo name="TableStyleMedium2" showFirstColumn="0" showLastColumn="0" showRowStripes="1" showColumnStripes="0"/>
</table>
</file>

<file path=xl/tables/table5.xml><?xml version="1.0" encoding="utf-8"?>
<table xmlns="http://schemas.openxmlformats.org/spreadsheetml/2006/main" id="8" name="Tbl_Feries" displayName="Tbl_Feries" ref="A1:C25" totalsRowShown="0">
  <autoFilter ref="A1:C25"/>
  <sortState ref="A2:C25">
    <sortCondition ref="A1:A25"/>
  </sortState>
  <tableColumns count="3">
    <tableColumn id="1" name="Date"/>
    <tableColumn id="2" name="Nom"/>
    <tableColumn id="3" name="Type"/>
  </tableColumns>
  <tableStyleInfo name="TableStyleMedium2" showFirstColumn="0" showLastColumn="0" showRowStripes="1" showColumnStripes="0"/>
</table>
</file>

<file path=xl/tables/table6.xml><?xml version="1.0" encoding="utf-8"?>
<table xmlns="http://schemas.openxmlformats.org/spreadsheetml/2006/main" id="2" name="Dates_Groupes" displayName="Dates_Groupes" ref="A1:D143" totalsRowShown="0">
  <autoFilter ref="A1:D143"/>
  <sortState ref="A2:D143">
    <sortCondition ref="A1:A143"/>
  </sortState>
  <tableColumns count="4">
    <tableColumn id="1" name="Date"/>
    <tableColumn id="2" name="Groupe"/>
    <tableColumn id="3" name="Type"/>
    <tableColumn id="4" name="Modif_Manuelle"/>
  </tableColumns>
  <tableStyleInfo name="TableStyleMedium2" showFirstColumn="0" showLastColumn="0" showRowStripes="1" showColumnStripes="0"/>
</table>
</file>

<file path=xl/tables/table7.xml><?xml version="1.0" encoding="utf-8"?>
<table xmlns="http://schemas.openxmlformats.org/spreadsheetml/2006/main" id="7" name="Tbl_Remplacements" displayName="Tbl_Remplacements" ref="A1:F14" totalsRowShown="0">
  <autoFilter ref="A1:F14"/>
  <tableColumns count="6">
    <tableColumn id="1" name="Date" dataDxfId="25"/>
    <tableColumn id="2" name="ID_Absent"/>
    <tableColumn id="3" name="Nom_Absent"/>
    <tableColumn id="4" name="ID_Remplaçant"/>
    <tableColumn id="5" name="Nom_Remplaçant"/>
    <tableColumn id="6" name="Type"/>
  </tableColumns>
  <tableStyleInfo name="TableStyleMedium2" showFirstColumn="0" showLastColumn="0" showRowStripes="1" showColumnStripes="0"/>
</table>
</file>

<file path=xl/tables/table8.xml><?xml version="1.0" encoding="utf-8"?>
<table xmlns="http://schemas.openxmlformats.org/spreadsheetml/2006/main" id="1" name="Tbl_Parametres" displayName="Tbl_Parametres" ref="A1:E6" totalsRowShown="0">
  <autoFilter ref="A1:E6"/>
  <tableColumns count="5">
    <tableColumn id="1" name="Machine"/>
    <tableColumn id="2" name="Seuil_2pers"/>
    <tableColumn id="3" name="Seuil_3pers"/>
    <tableColumn id="4" name="Max"/>
    <tableColumn id="5" name="Fermeture"/>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table" Target="../tables/table2.xml"/><Relationship Id="rId5" Type="http://schemas.openxmlformats.org/officeDocument/2006/relationships/ctrlProp" Target="../ctrlProps/ctrlProp2.xml"/><Relationship Id="rId10"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hyperlink" Target="../03_Joakim%20Nicolet-dit-Felix/Planning%20macro/03_Commun/03_Joakim%20Nicolet-dit-Felix/03_Commun/03_Joakim%20Nicolet-dit-Felix/Planning%20macro/01_Pas%20toucher%20!/" TargetMode="External"/><Relationship Id="rId2" Type="http://schemas.openxmlformats.org/officeDocument/2006/relationships/hyperlink" Target="../03_Joakim%20Nicolet-dit-Felix/Planning%20macro/03_Joakim%20Nicolet-dit-Felix/Planning%20macro/01_Pas%20toucher%20!/Archives" TargetMode="External"/><Relationship Id="rId1" Type="http://schemas.openxmlformats.org/officeDocument/2006/relationships/hyperlink" Target="../03_Joakim%20Nicolet-dit-Felix/Planning%20macro/03_Commun/03_Joakim%20Nicolet-dit-Felix/03_Commun/03_Joakim%20Nicolet-dit-Felix/Planning%20macro/01_Pas%20toucher%20!/" TargetMode="External"/><Relationship Id="rId5" Type="http://schemas.openxmlformats.org/officeDocument/2006/relationships/printerSettings" Target="../printerSettings/printerSettings4.bin"/><Relationship Id="rId4" Type="http://schemas.openxmlformats.org/officeDocument/2006/relationships/hyperlink" Target="../03_Joakim%20Nicolet-dit-Felix/Planning%20macro/03_Commun/03_Joakim%20Nicolet-dit-Felix/03_Commun/03_Joakim%20Nicolet-dit-Felix/Planning%20macro/01_Pas%20toucher%2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P43"/>
  <sheetViews>
    <sheetView tabSelected="1" topLeftCell="A3" workbookViewId="0">
      <selection activeCell="E17" sqref="E17"/>
    </sheetView>
  </sheetViews>
  <sheetFormatPr baseColWidth="10" defaultRowHeight="12.75" x14ac:dyDescent="0.25"/>
  <cols>
    <col min="1" max="1" width="22.7109375" style="1" customWidth="1"/>
    <col min="2" max="4" width="20.7109375" style="3" customWidth="1"/>
    <col min="5" max="5" width="7.140625" style="1" customWidth="1"/>
    <col min="6" max="6" width="26" style="2" bestFit="1" customWidth="1"/>
    <col min="7" max="7" width="26.140625" style="3" bestFit="1" customWidth="1"/>
    <col min="8" max="8" width="6.42578125" style="3" customWidth="1"/>
    <col min="9" max="9" width="23" style="3" customWidth="1"/>
    <col min="10" max="10" width="27" style="3" customWidth="1"/>
    <col min="11" max="11" width="24.42578125" style="3" customWidth="1"/>
    <col min="12" max="12" width="25.7109375" style="3" customWidth="1"/>
    <col min="13" max="13" width="28" style="3" customWidth="1"/>
    <col min="14" max="16" width="11.42578125" style="3" customWidth="1"/>
    <col min="17" max="234" width="11.42578125" style="3"/>
    <col min="235" max="235" width="21.7109375" style="3" customWidth="1"/>
    <col min="236" max="239" width="13.7109375" style="3" customWidth="1"/>
    <col min="240" max="490" width="11.42578125" style="3"/>
    <col min="491" max="491" width="21.7109375" style="3" customWidth="1"/>
    <col min="492" max="495" width="13.7109375" style="3" customWidth="1"/>
    <col min="496" max="746" width="11.42578125" style="3"/>
    <col min="747" max="747" width="21.7109375" style="3" customWidth="1"/>
    <col min="748" max="751" width="13.7109375" style="3" customWidth="1"/>
    <col min="752" max="1002" width="11.42578125" style="3"/>
    <col min="1003" max="1003" width="21.7109375" style="3" customWidth="1"/>
    <col min="1004" max="1007" width="13.7109375" style="3" customWidth="1"/>
    <col min="1008" max="1258" width="11.42578125" style="3"/>
    <col min="1259" max="1259" width="21.7109375" style="3" customWidth="1"/>
    <col min="1260" max="1263" width="13.7109375" style="3" customWidth="1"/>
    <col min="1264" max="1514" width="11.42578125" style="3"/>
    <col min="1515" max="1515" width="21.7109375" style="3" customWidth="1"/>
    <col min="1516" max="1519" width="13.7109375" style="3" customWidth="1"/>
    <col min="1520" max="1770" width="11.42578125" style="3"/>
    <col min="1771" max="1771" width="21.7109375" style="3" customWidth="1"/>
    <col min="1772" max="1775" width="13.7109375" style="3" customWidth="1"/>
    <col min="1776" max="2026" width="11.42578125" style="3"/>
    <col min="2027" max="2027" width="21.7109375" style="3" customWidth="1"/>
    <col min="2028" max="2031" width="13.7109375" style="3" customWidth="1"/>
    <col min="2032" max="2282" width="11.42578125" style="3"/>
    <col min="2283" max="2283" width="21.7109375" style="3" customWidth="1"/>
    <col min="2284" max="2287" width="13.7109375" style="3" customWidth="1"/>
    <col min="2288" max="2538" width="11.42578125" style="3"/>
    <col min="2539" max="2539" width="21.7109375" style="3" customWidth="1"/>
    <col min="2540" max="2543" width="13.7109375" style="3" customWidth="1"/>
    <col min="2544" max="2794" width="11.42578125" style="3"/>
    <col min="2795" max="2795" width="21.7109375" style="3" customWidth="1"/>
    <col min="2796" max="2799" width="13.7109375" style="3" customWidth="1"/>
    <col min="2800" max="3050" width="11.42578125" style="3"/>
    <col min="3051" max="3051" width="21.7109375" style="3" customWidth="1"/>
    <col min="3052" max="3055" width="13.7109375" style="3" customWidth="1"/>
    <col min="3056" max="3306" width="11.42578125" style="3"/>
    <col min="3307" max="3307" width="21.7109375" style="3" customWidth="1"/>
    <col min="3308" max="3311" width="13.7109375" style="3" customWidth="1"/>
    <col min="3312" max="3562" width="11.42578125" style="3"/>
    <col min="3563" max="3563" width="21.7109375" style="3" customWidth="1"/>
    <col min="3564" max="3567" width="13.7109375" style="3" customWidth="1"/>
    <col min="3568" max="3818" width="11.42578125" style="3"/>
    <col min="3819" max="3819" width="21.7109375" style="3" customWidth="1"/>
    <col min="3820" max="3823" width="13.7109375" style="3" customWidth="1"/>
    <col min="3824" max="4074" width="11.42578125" style="3"/>
    <col min="4075" max="4075" width="21.7109375" style="3" customWidth="1"/>
    <col min="4076" max="4079" width="13.7109375" style="3" customWidth="1"/>
    <col min="4080" max="4330" width="11.42578125" style="3"/>
    <col min="4331" max="4331" width="21.7109375" style="3" customWidth="1"/>
    <col min="4332" max="4335" width="13.7109375" style="3" customWidth="1"/>
    <col min="4336" max="4586" width="11.42578125" style="3"/>
    <col min="4587" max="4587" width="21.7109375" style="3" customWidth="1"/>
    <col min="4588" max="4591" width="13.7109375" style="3" customWidth="1"/>
    <col min="4592" max="4842" width="11.42578125" style="3"/>
    <col min="4843" max="4843" width="21.7109375" style="3" customWidth="1"/>
    <col min="4844" max="4847" width="13.7109375" style="3" customWidth="1"/>
    <col min="4848" max="5098" width="11.42578125" style="3"/>
    <col min="5099" max="5099" width="21.7109375" style="3" customWidth="1"/>
    <col min="5100" max="5103" width="13.7109375" style="3" customWidth="1"/>
    <col min="5104" max="5354" width="11.42578125" style="3"/>
    <col min="5355" max="5355" width="21.7109375" style="3" customWidth="1"/>
    <col min="5356" max="5359" width="13.7109375" style="3" customWidth="1"/>
    <col min="5360" max="5610" width="11.42578125" style="3"/>
    <col min="5611" max="5611" width="21.7109375" style="3" customWidth="1"/>
    <col min="5612" max="5615" width="13.7109375" style="3" customWidth="1"/>
    <col min="5616" max="5866" width="11.42578125" style="3"/>
    <col min="5867" max="5867" width="21.7109375" style="3" customWidth="1"/>
    <col min="5868" max="5871" width="13.7109375" style="3" customWidth="1"/>
    <col min="5872" max="6122" width="11.42578125" style="3"/>
    <col min="6123" max="6123" width="21.7109375" style="3" customWidth="1"/>
    <col min="6124" max="6127" width="13.7109375" style="3" customWidth="1"/>
    <col min="6128" max="6378" width="11.42578125" style="3"/>
    <col min="6379" max="6379" width="21.7109375" style="3" customWidth="1"/>
    <col min="6380" max="6383" width="13.7109375" style="3" customWidth="1"/>
    <col min="6384" max="6634" width="11.42578125" style="3"/>
    <col min="6635" max="6635" width="21.7109375" style="3" customWidth="1"/>
    <col min="6636" max="6639" width="13.7109375" style="3" customWidth="1"/>
    <col min="6640" max="6890" width="11.42578125" style="3"/>
    <col min="6891" max="6891" width="21.7109375" style="3" customWidth="1"/>
    <col min="6892" max="6895" width="13.7109375" style="3" customWidth="1"/>
    <col min="6896" max="7146" width="11.42578125" style="3"/>
    <col min="7147" max="7147" width="21.7109375" style="3" customWidth="1"/>
    <col min="7148" max="7151" width="13.7109375" style="3" customWidth="1"/>
    <col min="7152" max="7402" width="11.42578125" style="3"/>
    <col min="7403" max="7403" width="21.7109375" style="3" customWidth="1"/>
    <col min="7404" max="7407" width="13.7109375" style="3" customWidth="1"/>
    <col min="7408" max="7658" width="11.42578125" style="3"/>
    <col min="7659" max="7659" width="21.7109375" style="3" customWidth="1"/>
    <col min="7660" max="7663" width="13.7109375" style="3" customWidth="1"/>
    <col min="7664" max="7914" width="11.42578125" style="3"/>
    <col min="7915" max="7915" width="21.7109375" style="3" customWidth="1"/>
    <col min="7916" max="7919" width="13.7109375" style="3" customWidth="1"/>
    <col min="7920" max="8170" width="11.42578125" style="3"/>
    <col min="8171" max="8171" width="21.7109375" style="3" customWidth="1"/>
    <col min="8172" max="8175" width="13.7109375" style="3" customWidth="1"/>
    <col min="8176" max="8426" width="11.42578125" style="3"/>
    <col min="8427" max="8427" width="21.7109375" style="3" customWidth="1"/>
    <col min="8428" max="8431" width="13.7109375" style="3" customWidth="1"/>
    <col min="8432" max="8682" width="11.42578125" style="3"/>
    <col min="8683" max="8683" width="21.7109375" style="3" customWidth="1"/>
    <col min="8684" max="8687" width="13.7109375" style="3" customWidth="1"/>
    <col min="8688" max="8938" width="11.42578125" style="3"/>
    <col min="8939" max="8939" width="21.7109375" style="3" customWidth="1"/>
    <col min="8940" max="8943" width="13.7109375" style="3" customWidth="1"/>
    <col min="8944" max="9194" width="11.42578125" style="3"/>
    <col min="9195" max="9195" width="21.7109375" style="3" customWidth="1"/>
    <col min="9196" max="9199" width="13.7109375" style="3" customWidth="1"/>
    <col min="9200" max="9450" width="11.42578125" style="3"/>
    <col min="9451" max="9451" width="21.7109375" style="3" customWidth="1"/>
    <col min="9452" max="9455" width="13.7109375" style="3" customWidth="1"/>
    <col min="9456" max="9706" width="11.42578125" style="3"/>
    <col min="9707" max="9707" width="21.7109375" style="3" customWidth="1"/>
    <col min="9708" max="9711" width="13.7109375" style="3" customWidth="1"/>
    <col min="9712" max="9962" width="11.42578125" style="3"/>
    <col min="9963" max="9963" width="21.7109375" style="3" customWidth="1"/>
    <col min="9964" max="9967" width="13.7109375" style="3" customWidth="1"/>
    <col min="9968" max="10218" width="11.42578125" style="3"/>
    <col min="10219" max="10219" width="21.7109375" style="3" customWidth="1"/>
    <col min="10220" max="10223" width="13.7109375" style="3" customWidth="1"/>
    <col min="10224" max="10474" width="11.42578125" style="3"/>
    <col min="10475" max="10475" width="21.7109375" style="3" customWidth="1"/>
    <col min="10476" max="10479" width="13.7109375" style="3" customWidth="1"/>
    <col min="10480" max="10730" width="11.42578125" style="3"/>
    <col min="10731" max="10731" width="21.7109375" style="3" customWidth="1"/>
    <col min="10732" max="10735" width="13.7109375" style="3" customWidth="1"/>
    <col min="10736" max="10986" width="11.42578125" style="3"/>
    <col min="10987" max="10987" width="21.7109375" style="3" customWidth="1"/>
    <col min="10988" max="10991" width="13.7109375" style="3" customWidth="1"/>
    <col min="10992" max="11242" width="11.42578125" style="3"/>
    <col min="11243" max="11243" width="21.7109375" style="3" customWidth="1"/>
    <col min="11244" max="11247" width="13.7109375" style="3" customWidth="1"/>
    <col min="11248" max="11498" width="11.42578125" style="3"/>
    <col min="11499" max="11499" width="21.7109375" style="3" customWidth="1"/>
    <col min="11500" max="11503" width="13.7109375" style="3" customWidth="1"/>
    <col min="11504" max="11754" width="11.42578125" style="3"/>
    <col min="11755" max="11755" width="21.7109375" style="3" customWidth="1"/>
    <col min="11756" max="11759" width="13.7109375" style="3" customWidth="1"/>
    <col min="11760" max="12010" width="11.42578125" style="3"/>
    <col min="12011" max="12011" width="21.7109375" style="3" customWidth="1"/>
    <col min="12012" max="12015" width="13.7109375" style="3" customWidth="1"/>
    <col min="12016" max="12266" width="11.42578125" style="3"/>
    <col min="12267" max="12267" width="21.7109375" style="3" customWidth="1"/>
    <col min="12268" max="12271" width="13.7109375" style="3" customWidth="1"/>
    <col min="12272" max="12522" width="11.42578125" style="3"/>
    <col min="12523" max="12523" width="21.7109375" style="3" customWidth="1"/>
    <col min="12524" max="12527" width="13.7109375" style="3" customWidth="1"/>
    <col min="12528" max="12778" width="11.42578125" style="3"/>
    <col min="12779" max="12779" width="21.7109375" style="3" customWidth="1"/>
    <col min="12780" max="12783" width="13.7109375" style="3" customWidth="1"/>
    <col min="12784" max="13034" width="11.42578125" style="3"/>
    <col min="13035" max="13035" width="21.7109375" style="3" customWidth="1"/>
    <col min="13036" max="13039" width="13.7109375" style="3" customWidth="1"/>
    <col min="13040" max="13290" width="11.42578125" style="3"/>
    <col min="13291" max="13291" width="21.7109375" style="3" customWidth="1"/>
    <col min="13292" max="13295" width="13.7109375" style="3" customWidth="1"/>
    <col min="13296" max="13546" width="11.42578125" style="3"/>
    <col min="13547" max="13547" width="21.7109375" style="3" customWidth="1"/>
    <col min="13548" max="13551" width="13.7109375" style="3" customWidth="1"/>
    <col min="13552" max="13802" width="11.42578125" style="3"/>
    <col min="13803" max="13803" width="21.7109375" style="3" customWidth="1"/>
    <col min="13804" max="13807" width="13.7109375" style="3" customWidth="1"/>
    <col min="13808" max="14058" width="11.42578125" style="3"/>
    <col min="14059" max="14059" width="21.7109375" style="3" customWidth="1"/>
    <col min="14060" max="14063" width="13.7109375" style="3" customWidth="1"/>
    <col min="14064" max="14314" width="11.42578125" style="3"/>
    <col min="14315" max="14315" width="21.7109375" style="3" customWidth="1"/>
    <col min="14316" max="14319" width="13.7109375" style="3" customWidth="1"/>
    <col min="14320" max="14570" width="11.42578125" style="3"/>
    <col min="14571" max="14571" width="21.7109375" style="3" customWidth="1"/>
    <col min="14572" max="14575" width="13.7109375" style="3" customWidth="1"/>
    <col min="14576" max="14826" width="11.42578125" style="3"/>
    <col min="14827" max="14827" width="21.7109375" style="3" customWidth="1"/>
    <col min="14828" max="14831" width="13.7109375" style="3" customWidth="1"/>
    <col min="14832" max="15082" width="11.42578125" style="3"/>
    <col min="15083" max="15083" width="21.7109375" style="3" customWidth="1"/>
    <col min="15084" max="15087" width="13.7109375" style="3" customWidth="1"/>
    <col min="15088" max="15338" width="11.42578125" style="3"/>
    <col min="15339" max="15339" width="21.7109375" style="3" customWidth="1"/>
    <col min="15340" max="15343" width="13.7109375" style="3" customWidth="1"/>
    <col min="15344" max="15594" width="11.42578125" style="3"/>
    <col min="15595" max="15595" width="21.7109375" style="3" customWidth="1"/>
    <col min="15596" max="15599" width="13.7109375" style="3" customWidth="1"/>
    <col min="15600" max="15850" width="11.42578125" style="3"/>
    <col min="15851" max="15851" width="21.7109375" style="3" customWidth="1"/>
    <col min="15852" max="15855" width="13.7109375" style="3" customWidth="1"/>
    <col min="15856" max="16106" width="11.42578125" style="3"/>
    <col min="16107" max="16107" width="21.7109375" style="3" customWidth="1"/>
    <col min="16108" max="16111" width="13.7109375" style="3" customWidth="1"/>
    <col min="16112" max="16384" width="11.42578125" style="3"/>
  </cols>
  <sheetData>
    <row r="1" spans="1:11" ht="16.5" hidden="1" customHeight="1" x14ac:dyDescent="0.3">
      <c r="A1" s="53"/>
      <c r="B1" s="53"/>
      <c r="C1" s="53"/>
      <c r="D1" s="53"/>
      <c r="E1" s="53"/>
      <c r="F1" s="53" t="s">
        <v>12</v>
      </c>
      <c r="G1" s="53"/>
      <c r="H1" s="53"/>
      <c r="I1" s="53"/>
      <c r="J1" s="53"/>
    </row>
    <row r="2" spans="1:11" ht="28.5" hidden="1" customHeight="1" thickBot="1" x14ac:dyDescent="0.35">
      <c r="D2" s="29"/>
      <c r="E2" s="29"/>
      <c r="F2" s="30" t="s">
        <v>12</v>
      </c>
      <c r="G2" s="31"/>
    </row>
    <row r="3" spans="1:11" s="7" customFormat="1" ht="15.95" customHeight="1" thickTop="1" thickBot="1" x14ac:dyDescent="0.3">
      <c r="A3" s="55" t="str">
        <f>IF(WEEKDAY('Planning journalier'!B3,2)=1,"Lundi",IF(WEEKDAY('Planning journalier'!B3,2)=2,"Mardi",IF(WEEKDAY('Planning journalier'!B3,2)=3,"Mercredi",IF(WEEKDAY('Planning journalier'!B3,2)=4,"Jeudi",IF(WEEKDAY('Planning journalier'!B3,2)=5,"Vendredi",IF(WEEKDAY('Planning journalier'!B3,2)=6,"Samedi",IF(WEEKDAY('Planning journalier'!B3,2)=7,"Dimanche","Erreur de frappe")))))))</f>
        <v>Jeudi</v>
      </c>
      <c r="B3" s="45">
        <v>46184</v>
      </c>
      <c r="D3" s="5"/>
      <c r="E3" s="4"/>
      <c r="F3" s="6"/>
    </row>
    <row r="4" spans="1:11" s="7" customFormat="1" ht="15.95" customHeight="1" thickTop="1" x14ac:dyDescent="0.2">
      <c r="A4" s="32"/>
      <c r="B4" s="32"/>
      <c r="C4" s="32"/>
      <c r="D4" s="32"/>
      <c r="E4" s="32"/>
      <c r="F4" s="8" t="s">
        <v>38</v>
      </c>
    </row>
    <row r="5" spans="1:11" s="7" customFormat="1" ht="15.95" customHeight="1" x14ac:dyDescent="0.2">
      <c r="A5" s="32"/>
      <c r="B5" s="82" t="s">
        <v>28</v>
      </c>
      <c r="C5" s="83"/>
      <c r="D5" s="84"/>
      <c r="E5" s="9"/>
      <c r="F5" s="65" t="s">
        <v>68</v>
      </c>
      <c r="G5" s="66" t="s">
        <v>65</v>
      </c>
      <c r="K5" s="47"/>
    </row>
    <row r="6" spans="1:11" s="7" customFormat="1" ht="15.95" customHeight="1" x14ac:dyDescent="0.25">
      <c r="A6" s="10" t="s">
        <v>76</v>
      </c>
      <c r="B6" s="11" t="s">
        <v>63</v>
      </c>
      <c r="C6" s="11" t="s">
        <v>207</v>
      </c>
      <c r="D6" s="11" t="s">
        <v>29</v>
      </c>
      <c r="E6" s="12"/>
      <c r="F6" s="62" t="s">
        <v>13</v>
      </c>
      <c r="G6" s="64" t="s">
        <v>0</v>
      </c>
      <c r="K6" s="47"/>
    </row>
    <row r="7" spans="1:11" s="7" customFormat="1" ht="15.95" customHeight="1" x14ac:dyDescent="0.25">
      <c r="A7" s="13" t="s">
        <v>30</v>
      </c>
      <c r="B7" s="14">
        <v>15</v>
      </c>
      <c r="C7" s="14">
        <v>0</v>
      </c>
      <c r="D7" s="14">
        <v>0</v>
      </c>
      <c r="E7" s="12"/>
      <c r="F7" s="62" t="s">
        <v>9</v>
      </c>
      <c r="G7" s="64" t="s">
        <v>1</v>
      </c>
    </row>
    <row r="8" spans="1:11" s="7" customFormat="1" ht="15.95" customHeight="1" x14ac:dyDescent="0.25">
      <c r="A8" s="13" t="s">
        <v>31</v>
      </c>
      <c r="B8" s="14">
        <v>13</v>
      </c>
      <c r="C8" s="14">
        <v>0</v>
      </c>
      <c r="D8" s="14">
        <v>0</v>
      </c>
      <c r="E8" s="15"/>
      <c r="F8" s="62" t="s">
        <v>16</v>
      </c>
      <c r="G8" s="64" t="s">
        <v>2</v>
      </c>
    </row>
    <row r="9" spans="1:11" s="7" customFormat="1" ht="15.95" customHeight="1" x14ac:dyDescent="0.25">
      <c r="A9" s="16" t="s">
        <v>32</v>
      </c>
      <c r="B9" s="14">
        <v>11682</v>
      </c>
      <c r="C9" s="14">
        <v>0</v>
      </c>
      <c r="D9" s="14">
        <v>0</v>
      </c>
      <c r="E9" s="15"/>
      <c r="F9" s="80" t="s">
        <v>14</v>
      </c>
      <c r="G9" s="64" t="s">
        <v>3</v>
      </c>
    </row>
    <row r="10" spans="1:11" s="7" customFormat="1" ht="15.95" customHeight="1" x14ac:dyDescent="0.25">
      <c r="A10" s="16" t="s">
        <v>33</v>
      </c>
      <c r="B10" s="14">
        <v>11988</v>
      </c>
      <c r="C10" s="14">
        <v>0</v>
      </c>
      <c r="D10" s="14">
        <v>0</v>
      </c>
      <c r="E10" s="15"/>
      <c r="F10" s="62" t="s">
        <v>18</v>
      </c>
      <c r="G10" s="64" t="s">
        <v>4</v>
      </c>
    </row>
    <row r="11" spans="1:11" s="7" customFormat="1" ht="15.95" customHeight="1" x14ac:dyDescent="0.25">
      <c r="A11" s="16" t="s">
        <v>34</v>
      </c>
      <c r="B11" s="17">
        <v>2500</v>
      </c>
      <c r="C11" s="14">
        <v>0</v>
      </c>
      <c r="D11" s="14">
        <v>0</v>
      </c>
      <c r="E11" s="15"/>
      <c r="F11" s="62" t="s">
        <v>11</v>
      </c>
      <c r="G11" s="64" t="s">
        <v>5</v>
      </c>
    </row>
    <row r="12" spans="1:11" s="7" customFormat="1" ht="15.95" customHeight="1" x14ac:dyDescent="0.25">
      <c r="A12" s="16" t="s">
        <v>35</v>
      </c>
      <c r="B12" s="14">
        <v>3117</v>
      </c>
      <c r="C12" s="14">
        <v>0</v>
      </c>
      <c r="D12" s="14">
        <v>0</v>
      </c>
      <c r="E12" s="15"/>
      <c r="F12" s="62" t="s">
        <v>17</v>
      </c>
      <c r="G12" s="64" t="s">
        <v>6</v>
      </c>
    </row>
    <row r="13" spans="1:11" s="7" customFormat="1" ht="15.95" customHeight="1" x14ac:dyDescent="0.25">
      <c r="A13" s="13" t="s">
        <v>36</v>
      </c>
      <c r="B13" s="18">
        <f>SUM(B7:B12)</f>
        <v>29315</v>
      </c>
      <c r="C13" s="18">
        <f>SUM(C7:C12)</f>
        <v>0</v>
      </c>
      <c r="D13" s="18">
        <f>SUM(D7:D12)</f>
        <v>0</v>
      </c>
      <c r="E13" s="15"/>
      <c r="F13" s="62" t="s">
        <v>8</v>
      </c>
      <c r="G13" s="64" t="s">
        <v>7</v>
      </c>
    </row>
    <row r="14" spans="1:11" s="7" customFormat="1" ht="15.95" customHeight="1" x14ac:dyDescent="0.25">
      <c r="E14" s="15"/>
      <c r="F14" s="62" t="s">
        <v>12</v>
      </c>
      <c r="G14" s="64" t="s">
        <v>160</v>
      </c>
    </row>
    <row r="15" spans="1:11" s="7" customFormat="1" ht="15.95" customHeight="1" x14ac:dyDescent="0.25">
      <c r="A15" s="20"/>
      <c r="B15" s="21" t="s">
        <v>113</v>
      </c>
      <c r="C15" s="11" t="s">
        <v>112</v>
      </c>
      <c r="D15" s="11" t="s">
        <v>37</v>
      </c>
      <c r="E15" s="19"/>
      <c r="F15" s="62"/>
      <c r="G15" s="64"/>
    </row>
    <row r="16" spans="1:11" s="7" customFormat="1" ht="15.75" x14ac:dyDescent="0.25">
      <c r="A16" s="22" t="s">
        <v>58</v>
      </c>
      <c r="B16" s="23">
        <v>3912</v>
      </c>
      <c r="C16" s="23">
        <v>0</v>
      </c>
      <c r="D16" s="24">
        <f>SUM(B16:C16)</f>
        <v>3912</v>
      </c>
      <c r="F16" s="62"/>
      <c r="G16" s="64"/>
    </row>
    <row r="17" spans="1:16" s="7" customFormat="1" ht="15.95" customHeight="1" x14ac:dyDescent="0.25">
      <c r="A17" s="22" t="s">
        <v>59</v>
      </c>
      <c r="B17" s="23">
        <v>4355</v>
      </c>
      <c r="C17" s="25">
        <v>959</v>
      </c>
      <c r="D17" s="26">
        <f>SUM(B17:C17)</f>
        <v>5314</v>
      </c>
      <c r="F17" s="62"/>
      <c r="G17" s="64"/>
      <c r="I17" s="20"/>
    </row>
    <row r="18" spans="1:16" s="7" customFormat="1" ht="15.95" customHeight="1" thickBot="1" x14ac:dyDescent="0.3">
      <c r="F18" s="62"/>
      <c r="G18" s="64"/>
    </row>
    <row r="19" spans="1:16" s="7" customFormat="1" ht="15.95" customHeight="1" x14ac:dyDescent="0.2">
      <c r="A19" s="33" t="s">
        <v>64</v>
      </c>
      <c r="B19" s="34"/>
      <c r="C19" s="35"/>
      <c r="D19" s="36"/>
      <c r="E19" s="32"/>
      <c r="F19" s="63"/>
      <c r="G19" s="64"/>
    </row>
    <row r="20" spans="1:16" s="7" customFormat="1" ht="15.95" customHeight="1" x14ac:dyDescent="0.25">
      <c r="A20" s="37"/>
      <c r="B20" s="27"/>
      <c r="C20" s="38"/>
      <c r="D20" s="39"/>
      <c r="E20" s="4"/>
      <c r="F20" s="67"/>
      <c r="G20" s="68"/>
    </row>
    <row r="21" spans="1:16" s="7" customFormat="1" ht="15.95" customHeight="1" x14ac:dyDescent="0.25">
      <c r="A21" s="40"/>
      <c r="B21" s="27"/>
      <c r="C21" s="38"/>
      <c r="D21" s="39"/>
      <c r="E21" s="28"/>
      <c r="F21" s="49"/>
      <c r="G21" s="49"/>
    </row>
    <row r="22" spans="1:16" s="7" customFormat="1" ht="15.95" customHeight="1" x14ac:dyDescent="0.25">
      <c r="A22" s="37"/>
      <c r="B22" s="27"/>
      <c r="C22" s="27"/>
      <c r="D22" s="41"/>
      <c r="E22" s="60"/>
      <c r="F22" s="54" t="s">
        <v>57</v>
      </c>
      <c r="G22" s="50"/>
      <c r="H22" s="61"/>
    </row>
    <row r="23" spans="1:16" s="4" customFormat="1" ht="15.75" customHeight="1" thickBot="1" x14ac:dyDescent="0.3">
      <c r="A23" s="42"/>
      <c r="B23" s="43"/>
      <c r="C23" s="43"/>
      <c r="D23" s="44"/>
      <c r="F23" s="65" t="s">
        <v>68</v>
      </c>
      <c r="G23" s="66" t="s">
        <v>77</v>
      </c>
      <c r="H23" s="7"/>
      <c r="I23" s="7"/>
      <c r="J23" s="7"/>
      <c r="K23" s="7"/>
      <c r="L23" s="7"/>
      <c r="M23" s="7"/>
      <c r="N23" s="7"/>
      <c r="O23" s="7"/>
      <c r="P23" s="7"/>
    </row>
    <row r="24" spans="1:16" s="7" customFormat="1" ht="15" x14ac:dyDescent="0.25">
      <c r="A24" s="4"/>
      <c r="E24" s="4"/>
      <c r="F24" s="62" t="s">
        <v>12</v>
      </c>
      <c r="G24" s="70"/>
    </row>
    <row r="25" spans="1:16" s="7" customFormat="1" ht="15" x14ac:dyDescent="0.25">
      <c r="A25" s="4"/>
      <c r="E25" s="4"/>
      <c r="F25" s="69"/>
      <c r="G25" s="70"/>
    </row>
    <row r="26" spans="1:16" s="7" customFormat="1" ht="16.5" customHeight="1" x14ac:dyDescent="0.25">
      <c r="D26" s="47"/>
      <c r="E26" s="4"/>
      <c r="F26" s="76"/>
      <c r="G26" s="77"/>
      <c r="I26" s="20"/>
    </row>
    <row r="27" spans="1:16" s="7" customFormat="1" ht="16.5" customHeight="1" x14ac:dyDescent="0.25">
      <c r="D27" s="47"/>
      <c r="E27" s="4"/>
      <c r="F27" s="78"/>
      <c r="G27" s="79"/>
      <c r="I27" s="20"/>
    </row>
    <row r="28" spans="1:16" s="7" customFormat="1" ht="16.5" customHeight="1" x14ac:dyDescent="0.25">
      <c r="D28" s="47"/>
      <c r="E28" s="4"/>
      <c r="F28" s="46" t="s">
        <v>66</v>
      </c>
      <c r="G28" s="47" t="s">
        <v>60</v>
      </c>
    </row>
    <row r="29" spans="1:16" s="7" customFormat="1" ht="16.5" customHeight="1" x14ac:dyDescent="0.25">
      <c r="A29" s="4"/>
      <c r="E29" s="4"/>
      <c r="F29" s="46" t="s">
        <v>67</v>
      </c>
      <c r="G29" s="47" t="s">
        <v>74</v>
      </c>
    </row>
    <row r="30" spans="1:16" ht="16.5" customHeight="1" x14ac:dyDescent="0.25">
      <c r="F30" s="7"/>
      <c r="G30" s="7"/>
    </row>
    <row r="31" spans="1:16" ht="16.5" customHeight="1" x14ac:dyDescent="0.25">
      <c r="F31" s="46" t="s">
        <v>75</v>
      </c>
      <c r="G31" s="61">
        <v>46182.45890046296</v>
      </c>
    </row>
    <row r="32" spans="1:16" ht="16.5" customHeight="1" x14ac:dyDescent="0.25">
      <c r="F32" s="9" t="s">
        <v>206</v>
      </c>
      <c r="G32" s="81">
        <v>46182</v>
      </c>
    </row>
    <row r="33" spans="3:7" ht="16.5" customHeight="1" x14ac:dyDescent="0.25">
      <c r="F33" s="74" t="s">
        <v>270</v>
      </c>
      <c r="G33" s="75">
        <v>46181</v>
      </c>
    </row>
    <row r="34" spans="3:7" ht="16.5" customHeight="1" x14ac:dyDescent="0.25"/>
    <row r="35" spans="3:7" ht="16.5" customHeight="1" x14ac:dyDescent="0.25"/>
    <row r="36" spans="3:7" ht="16.5" customHeight="1" x14ac:dyDescent="0.25"/>
    <row r="37" spans="3:7" ht="16.5" customHeight="1" x14ac:dyDescent="0.25"/>
    <row r="38" spans="3:7" ht="16.5" customHeight="1" x14ac:dyDescent="0.25"/>
    <row r="39" spans="3:7" ht="16.5" customHeight="1" x14ac:dyDescent="0.25"/>
    <row r="41" spans="3:7" x14ac:dyDescent="0.25">
      <c r="C41" s="1"/>
    </row>
    <row r="43" spans="3:7" x14ac:dyDescent="0.25">
      <c r="G43" s="3" t="s">
        <v>293</v>
      </c>
    </row>
  </sheetData>
  <mergeCells count="1">
    <mergeCell ref="B5:D5"/>
  </mergeCells>
  <conditionalFormatting sqref="A60:XFD1048576 A59:B59 D59:XFD59 A2:XFD2 A29:E31 C32:E32 A32 L5:XFD6 A1 K1:XFD1 A33:E33 A36:XFD58 C34:E34 A35:E35 A24:E25 D26:E28 A15:D17 E21:E23 A19:D23 A5:H5 E16:XFD20 K7:XFD8 A4:XFD4 B3:XFD3 E7:E15 J9:XFD15 A7:D13 A6:E6 G6:H15 H21:XFD35 F23:G31">
    <cfRule type="containsText" dxfId="24" priority="36" operator="containsText" text="Vaox1">
      <formula>NOT(ISERROR(SEARCH("Vaox1",A1)))</formula>
    </cfRule>
    <cfRule type="containsText" dxfId="23" priority="37" operator="containsText" text="Vaox5-D">
      <formula>NOT(ISERROR(SEARCH("Vaox5-D",A1)))</formula>
    </cfRule>
    <cfRule type="containsText" dxfId="22" priority="38" operator="containsText" text="Vaox5-C">
      <formula>NOT(ISERROR(SEARCH("Vaox5-C",A1)))</formula>
    </cfRule>
    <cfRule type="containsText" dxfId="21" priority="39" operator="containsText" text="Vaox5-B">
      <formula>NOT(ISERROR(SEARCH("Vaox5-B",A1)))</formula>
    </cfRule>
    <cfRule type="containsText" dxfId="20" priority="40" operator="containsText" text="Vaox5-A">
      <formula>NOT(ISERROR(SEARCH("Vaox5-A",A1)))</formula>
    </cfRule>
  </conditionalFormatting>
  <conditionalFormatting sqref="A3">
    <cfRule type="containsText" dxfId="19" priority="21" operator="containsText" text="Vaox1">
      <formula>NOT(ISERROR(SEARCH("Vaox1",A3)))</formula>
    </cfRule>
    <cfRule type="containsText" dxfId="18" priority="22" operator="containsText" text="Vaox5-D">
      <formula>NOT(ISERROR(SEARCH("Vaox5-D",A3)))</formula>
    </cfRule>
    <cfRule type="containsText" dxfId="17" priority="23" operator="containsText" text="Vaox5-C">
      <formula>NOT(ISERROR(SEARCH("Vaox5-C",A3)))</formula>
    </cfRule>
    <cfRule type="containsText" dxfId="16" priority="24" operator="containsText" text="Vaox5-B">
      <formula>NOT(ISERROR(SEARCH("Vaox5-B",A3)))</formula>
    </cfRule>
    <cfRule type="containsText" dxfId="15" priority="25" operator="containsText" text="Vaox5-A">
      <formula>NOT(ISERROR(SEARCH("Vaox5-A",A3)))</formula>
    </cfRule>
  </conditionalFormatting>
  <conditionalFormatting sqref="F6">
    <cfRule type="containsText" dxfId="14" priority="11" operator="containsText" text="Vaox1">
      <formula>NOT(ISERROR(SEARCH("Vaox1",F6)))</formula>
    </cfRule>
    <cfRule type="containsText" dxfId="13" priority="12" operator="containsText" text="Vaox5-D">
      <formula>NOT(ISERROR(SEARCH("Vaox5-D",F6)))</formula>
    </cfRule>
    <cfRule type="containsText" dxfId="12" priority="13" operator="containsText" text="Vaox5-C">
      <formula>NOT(ISERROR(SEARCH("Vaox5-C",F6)))</formula>
    </cfRule>
    <cfRule type="containsText" dxfId="11" priority="14" operator="containsText" text="Vaox5-B">
      <formula>NOT(ISERROR(SEARCH("Vaox5-B",F6)))</formula>
    </cfRule>
    <cfRule type="containsText" dxfId="10" priority="15" operator="containsText" text="Vaox5-A">
      <formula>NOT(ISERROR(SEARCH("Vaox5-A",F6)))</formula>
    </cfRule>
  </conditionalFormatting>
  <conditionalFormatting sqref="F7:F15">
    <cfRule type="containsText" dxfId="9" priority="6" operator="containsText" text="Vaox1">
      <formula>NOT(ISERROR(SEARCH("Vaox1",F7)))</formula>
    </cfRule>
    <cfRule type="containsText" dxfId="8" priority="7" operator="containsText" text="Vaox5-D">
      <formula>NOT(ISERROR(SEARCH("Vaox5-D",F7)))</formula>
    </cfRule>
    <cfRule type="containsText" dxfId="7" priority="8" operator="containsText" text="Vaox5-C">
      <formula>NOT(ISERROR(SEARCH("Vaox5-C",F7)))</formula>
    </cfRule>
    <cfRule type="containsText" dxfId="6" priority="9" operator="containsText" text="Vaox5-B">
      <formula>NOT(ISERROR(SEARCH("Vaox5-B",F7)))</formula>
    </cfRule>
    <cfRule type="containsText" dxfId="5" priority="10" operator="containsText" text="Vaox5-A">
      <formula>NOT(ISERROR(SEARCH("Vaox5-A",F7)))</formula>
    </cfRule>
  </conditionalFormatting>
  <conditionalFormatting sqref="F32">
    <cfRule type="containsText" dxfId="4" priority="1" operator="containsText" text="Vaox1">
      <formula>NOT(ISERROR(SEARCH("Vaox1",F32)))</formula>
    </cfRule>
    <cfRule type="containsText" dxfId="3" priority="2" operator="containsText" text="Vaox5-D">
      <formula>NOT(ISERROR(SEARCH("Vaox5-D",F32)))</formula>
    </cfRule>
    <cfRule type="containsText" dxfId="2" priority="3" operator="containsText" text="Vaox5-C">
      <formula>NOT(ISERROR(SEARCH("Vaox5-C",F32)))</formula>
    </cfRule>
    <cfRule type="containsText" dxfId="1" priority="4" operator="containsText" text="Vaox5-B">
      <formula>NOT(ISERROR(SEARCH("Vaox5-B",F32)))</formula>
    </cfRule>
    <cfRule type="containsText" dxfId="0" priority="5" operator="containsText" text="Vaox5-A">
      <formula>NOT(ISERROR(SEARCH("Vaox5-A",F32)))</formula>
    </cfRule>
  </conditionalFormatting>
  <dataValidations count="5">
    <dataValidation type="list" allowBlank="1" showInputMessage="1" showErrorMessage="1" sqref="WUO982595 C65191 IC65091 RY65091 ABU65091 ALQ65091 AVM65091 BFI65091 BPE65091 BZA65091 CIW65091 CSS65091 DCO65091 DMK65091 DWG65091 EGC65091 EPY65091 EZU65091 FJQ65091 FTM65091 GDI65091 GNE65091 GXA65091 HGW65091 HQS65091 IAO65091 IKK65091 IUG65091 JEC65091 JNY65091 JXU65091 KHQ65091 KRM65091 LBI65091 LLE65091 LVA65091 MEW65091 MOS65091 MYO65091 NIK65091 NSG65091 OCC65091 OLY65091 OVU65091 PFQ65091 PPM65091 PZI65091 QJE65091 QTA65091 RCW65091 RMS65091 RWO65091 SGK65091 SQG65091 TAC65091 TJY65091 TTU65091 UDQ65091 UNM65091 UXI65091 VHE65091 VRA65091 WAW65091 WKS65091 WUO65091 C130727 IC130627 RY130627 ABU130627 ALQ130627 AVM130627 BFI130627 BPE130627 BZA130627 CIW130627 CSS130627 DCO130627 DMK130627 DWG130627 EGC130627 EPY130627 EZU130627 FJQ130627 FTM130627 GDI130627 GNE130627 GXA130627 HGW130627 HQS130627 IAO130627 IKK130627 IUG130627 JEC130627 JNY130627 JXU130627 KHQ130627 KRM130627 LBI130627 LLE130627 LVA130627 MEW130627 MOS130627 MYO130627 NIK130627 NSG130627 OCC130627 OLY130627 OVU130627 PFQ130627 PPM130627 PZI130627 QJE130627 QTA130627 RCW130627 RMS130627 RWO130627 SGK130627 SQG130627 TAC130627 TJY130627 TTU130627 UDQ130627 UNM130627 UXI130627 VHE130627 VRA130627 WAW130627 WKS130627 WUO130627 C196263 IC196163 RY196163 ABU196163 ALQ196163 AVM196163 BFI196163 BPE196163 BZA196163 CIW196163 CSS196163 DCO196163 DMK196163 DWG196163 EGC196163 EPY196163 EZU196163 FJQ196163 FTM196163 GDI196163 GNE196163 GXA196163 HGW196163 HQS196163 IAO196163 IKK196163 IUG196163 JEC196163 JNY196163 JXU196163 KHQ196163 KRM196163 LBI196163 LLE196163 LVA196163 MEW196163 MOS196163 MYO196163 NIK196163 NSG196163 OCC196163 OLY196163 OVU196163 PFQ196163 PPM196163 PZI196163 QJE196163 QTA196163 RCW196163 RMS196163 RWO196163 SGK196163 SQG196163 TAC196163 TJY196163 TTU196163 UDQ196163 UNM196163 UXI196163 VHE196163 VRA196163 WAW196163 WKS196163 WUO196163 C261799 IC261699 RY261699 ABU261699 ALQ261699 AVM261699 BFI261699 BPE261699 BZA261699 CIW261699 CSS261699 DCO261699 DMK261699 DWG261699 EGC261699 EPY261699 EZU261699 FJQ261699 FTM261699 GDI261699 GNE261699 GXA261699 HGW261699 HQS261699 IAO261699 IKK261699 IUG261699 JEC261699 JNY261699 JXU261699 KHQ261699 KRM261699 LBI261699 LLE261699 LVA261699 MEW261699 MOS261699 MYO261699 NIK261699 NSG261699 OCC261699 OLY261699 OVU261699 PFQ261699 PPM261699 PZI261699 QJE261699 QTA261699 RCW261699 RMS261699 RWO261699 SGK261699 SQG261699 TAC261699 TJY261699 TTU261699 UDQ261699 UNM261699 UXI261699 VHE261699 VRA261699 WAW261699 WKS261699 WUO261699 C327335 IC327235 RY327235 ABU327235 ALQ327235 AVM327235 BFI327235 BPE327235 BZA327235 CIW327235 CSS327235 DCO327235 DMK327235 DWG327235 EGC327235 EPY327235 EZU327235 FJQ327235 FTM327235 GDI327235 GNE327235 GXA327235 HGW327235 HQS327235 IAO327235 IKK327235 IUG327235 JEC327235 JNY327235 JXU327235 KHQ327235 KRM327235 LBI327235 LLE327235 LVA327235 MEW327235 MOS327235 MYO327235 NIK327235 NSG327235 OCC327235 OLY327235 OVU327235 PFQ327235 PPM327235 PZI327235 QJE327235 QTA327235 RCW327235 RMS327235 RWO327235 SGK327235 SQG327235 TAC327235 TJY327235 TTU327235 UDQ327235 UNM327235 UXI327235 VHE327235 VRA327235 WAW327235 WKS327235 WUO327235 C392871 IC392771 RY392771 ABU392771 ALQ392771 AVM392771 BFI392771 BPE392771 BZA392771 CIW392771 CSS392771 DCO392771 DMK392771 DWG392771 EGC392771 EPY392771 EZU392771 FJQ392771 FTM392771 GDI392771 GNE392771 GXA392771 HGW392771 HQS392771 IAO392771 IKK392771 IUG392771 JEC392771 JNY392771 JXU392771 KHQ392771 KRM392771 LBI392771 LLE392771 LVA392771 MEW392771 MOS392771 MYO392771 NIK392771 NSG392771 OCC392771 OLY392771 OVU392771 PFQ392771 PPM392771 PZI392771 QJE392771 QTA392771 RCW392771 RMS392771 RWO392771 SGK392771 SQG392771 TAC392771 TJY392771 TTU392771 UDQ392771 UNM392771 UXI392771 VHE392771 VRA392771 WAW392771 WKS392771 WUO392771 C458407 IC458307 RY458307 ABU458307 ALQ458307 AVM458307 BFI458307 BPE458307 BZA458307 CIW458307 CSS458307 DCO458307 DMK458307 DWG458307 EGC458307 EPY458307 EZU458307 FJQ458307 FTM458307 GDI458307 GNE458307 GXA458307 HGW458307 HQS458307 IAO458307 IKK458307 IUG458307 JEC458307 JNY458307 JXU458307 KHQ458307 KRM458307 LBI458307 LLE458307 LVA458307 MEW458307 MOS458307 MYO458307 NIK458307 NSG458307 OCC458307 OLY458307 OVU458307 PFQ458307 PPM458307 PZI458307 QJE458307 QTA458307 RCW458307 RMS458307 RWO458307 SGK458307 SQG458307 TAC458307 TJY458307 TTU458307 UDQ458307 UNM458307 UXI458307 VHE458307 VRA458307 WAW458307 WKS458307 WUO458307 C523943 IC523843 RY523843 ABU523843 ALQ523843 AVM523843 BFI523843 BPE523843 BZA523843 CIW523843 CSS523843 DCO523843 DMK523843 DWG523843 EGC523843 EPY523843 EZU523843 FJQ523843 FTM523843 GDI523843 GNE523843 GXA523843 HGW523843 HQS523843 IAO523843 IKK523843 IUG523843 JEC523843 JNY523843 JXU523843 KHQ523843 KRM523843 LBI523843 LLE523843 LVA523843 MEW523843 MOS523843 MYO523843 NIK523843 NSG523843 OCC523843 OLY523843 OVU523843 PFQ523843 PPM523843 PZI523843 QJE523843 QTA523843 RCW523843 RMS523843 RWO523843 SGK523843 SQG523843 TAC523843 TJY523843 TTU523843 UDQ523843 UNM523843 UXI523843 VHE523843 VRA523843 WAW523843 WKS523843 WUO523843 C589479 IC589379 RY589379 ABU589379 ALQ589379 AVM589379 BFI589379 BPE589379 BZA589379 CIW589379 CSS589379 DCO589379 DMK589379 DWG589379 EGC589379 EPY589379 EZU589379 FJQ589379 FTM589379 GDI589379 GNE589379 GXA589379 HGW589379 HQS589379 IAO589379 IKK589379 IUG589379 JEC589379 JNY589379 JXU589379 KHQ589379 KRM589379 LBI589379 LLE589379 LVA589379 MEW589379 MOS589379 MYO589379 NIK589379 NSG589379 OCC589379 OLY589379 OVU589379 PFQ589379 PPM589379 PZI589379 QJE589379 QTA589379 RCW589379 RMS589379 RWO589379 SGK589379 SQG589379 TAC589379 TJY589379 TTU589379 UDQ589379 UNM589379 UXI589379 VHE589379 VRA589379 WAW589379 WKS589379 WUO589379 C655015 IC654915 RY654915 ABU654915 ALQ654915 AVM654915 BFI654915 BPE654915 BZA654915 CIW654915 CSS654915 DCO654915 DMK654915 DWG654915 EGC654915 EPY654915 EZU654915 FJQ654915 FTM654915 GDI654915 GNE654915 GXA654915 HGW654915 HQS654915 IAO654915 IKK654915 IUG654915 JEC654915 JNY654915 JXU654915 KHQ654915 KRM654915 LBI654915 LLE654915 LVA654915 MEW654915 MOS654915 MYO654915 NIK654915 NSG654915 OCC654915 OLY654915 OVU654915 PFQ654915 PPM654915 PZI654915 QJE654915 QTA654915 RCW654915 RMS654915 RWO654915 SGK654915 SQG654915 TAC654915 TJY654915 TTU654915 UDQ654915 UNM654915 UXI654915 VHE654915 VRA654915 WAW654915 WKS654915 WUO654915 C720551 IC720451 RY720451 ABU720451 ALQ720451 AVM720451 BFI720451 BPE720451 BZA720451 CIW720451 CSS720451 DCO720451 DMK720451 DWG720451 EGC720451 EPY720451 EZU720451 FJQ720451 FTM720451 GDI720451 GNE720451 GXA720451 HGW720451 HQS720451 IAO720451 IKK720451 IUG720451 JEC720451 JNY720451 JXU720451 KHQ720451 KRM720451 LBI720451 LLE720451 LVA720451 MEW720451 MOS720451 MYO720451 NIK720451 NSG720451 OCC720451 OLY720451 OVU720451 PFQ720451 PPM720451 PZI720451 QJE720451 QTA720451 RCW720451 RMS720451 RWO720451 SGK720451 SQG720451 TAC720451 TJY720451 TTU720451 UDQ720451 UNM720451 UXI720451 VHE720451 VRA720451 WAW720451 WKS720451 WUO720451 C786087 IC785987 RY785987 ABU785987 ALQ785987 AVM785987 BFI785987 BPE785987 BZA785987 CIW785987 CSS785987 DCO785987 DMK785987 DWG785987 EGC785987 EPY785987 EZU785987 FJQ785987 FTM785987 GDI785987 GNE785987 GXA785987 HGW785987 HQS785987 IAO785987 IKK785987 IUG785987 JEC785987 JNY785987 JXU785987 KHQ785987 KRM785987 LBI785987 LLE785987 LVA785987 MEW785987 MOS785987 MYO785987 NIK785987 NSG785987 OCC785987 OLY785987 OVU785987 PFQ785987 PPM785987 PZI785987 QJE785987 QTA785987 RCW785987 RMS785987 RWO785987 SGK785987 SQG785987 TAC785987 TJY785987 TTU785987 UDQ785987 UNM785987 UXI785987 VHE785987 VRA785987 WAW785987 WKS785987 WUO785987 C851623 IC851523 RY851523 ABU851523 ALQ851523 AVM851523 BFI851523 BPE851523 BZA851523 CIW851523 CSS851523 DCO851523 DMK851523 DWG851523 EGC851523 EPY851523 EZU851523 FJQ851523 FTM851523 GDI851523 GNE851523 GXA851523 HGW851523 HQS851523 IAO851523 IKK851523 IUG851523 JEC851523 JNY851523 JXU851523 KHQ851523 KRM851523 LBI851523 LLE851523 LVA851523 MEW851523 MOS851523 MYO851523 NIK851523 NSG851523 OCC851523 OLY851523 OVU851523 PFQ851523 PPM851523 PZI851523 QJE851523 QTA851523 RCW851523 RMS851523 RWO851523 SGK851523 SQG851523 TAC851523 TJY851523 TTU851523 UDQ851523 UNM851523 UXI851523 VHE851523 VRA851523 WAW851523 WKS851523 WUO851523 C917159 IC917059 RY917059 ABU917059 ALQ917059 AVM917059 BFI917059 BPE917059 BZA917059 CIW917059 CSS917059 DCO917059 DMK917059 DWG917059 EGC917059 EPY917059 EZU917059 FJQ917059 FTM917059 GDI917059 GNE917059 GXA917059 HGW917059 HQS917059 IAO917059 IKK917059 IUG917059 JEC917059 JNY917059 JXU917059 KHQ917059 KRM917059 LBI917059 LLE917059 LVA917059 MEW917059 MOS917059 MYO917059 NIK917059 NSG917059 OCC917059 OLY917059 OVU917059 PFQ917059 PPM917059 PZI917059 QJE917059 QTA917059 RCW917059 RMS917059 RWO917059 SGK917059 SQG917059 TAC917059 TJY917059 TTU917059 UDQ917059 UNM917059 UXI917059 VHE917059 VRA917059 WAW917059 WKS917059 WUO917059 C982695 IC982595 RY982595 ABU982595 ALQ982595 AVM982595 BFI982595 BPE982595 BZA982595 CIW982595 CSS982595 DCO982595 DMK982595 DWG982595 EGC982595 EPY982595 EZU982595 FJQ982595 FTM982595 GDI982595 GNE982595 GXA982595 HGW982595 HQS982595 IAO982595 IKK982595 IUG982595 JEC982595 JNY982595 JXU982595 KHQ982595 KRM982595 LBI982595 LLE982595 LVA982595 MEW982595 MOS982595 MYO982595 NIK982595 NSG982595 OCC982595 OLY982595 OVU982595 PFQ982595 PPM982595 PZI982595 QJE982595 QTA982595 RCW982595 RMS982595 RWO982595 SGK982595 SQG982595 TAC982595 TJY982595 TTU982595 UDQ982595 UNM982595 UXI982595 VHE982595 VRA982595 WAW982595 WKS982595">
      <formula1>Jour</formula1>
    </dataValidation>
    <dataValidation type="list" allowBlank="1" showInputMessage="1" showErrorMessage="1" sqref="A3">
      <formula1>#REF!</formula1>
    </dataValidation>
    <dataValidation type="list" allowBlank="1" showInputMessage="1" showErrorMessage="1" sqref="G6:G18 G24:G27">
      <formula1>#REF!</formula1>
    </dataValidation>
    <dataValidation type="list" allowBlank="1" showInputMessage="1" showErrorMessage="1" sqref="K5:K6">
      <formula1>#REF!</formula1>
    </dataValidation>
    <dataValidation type="list" allowBlank="1" showInputMessage="1" showErrorMessage="1" sqref="F24:F27">
      <formula1>#REF!</formula1>
    </dataValidation>
  </dataValidations>
  <printOptions horizontalCentered="1" verticalCentered="1"/>
  <pageMargins left="0.23622047244094491" right="0.23622047244094491" top="0.74803149606299213" bottom="0.74803149606299213" header="0.31496062992125984" footer="0.31496062992125984"/>
  <pageSetup paperSize="9" scale="77" orientation="landscape" r:id="rId1"/>
  <headerFooter>
    <oddHeader>&amp;C&amp;"-,Gras"&amp;20Planning journalier</oddHeader>
    <oddFooter>&amp;L&amp;Z&amp;F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GenererPlanning">
                <anchor moveWithCells="1" sizeWithCells="1">
                  <from>
                    <xdr:col>5</xdr:col>
                    <xdr:colOff>19050</xdr:colOff>
                    <xdr:row>34</xdr:row>
                    <xdr:rowOff>9525</xdr:rowOff>
                  </from>
                  <to>
                    <xdr:col>5</xdr:col>
                    <xdr:colOff>1638300</xdr:colOff>
                    <xdr:row>35</xdr:row>
                    <xdr:rowOff>200025</xdr:rowOff>
                  </to>
                </anchor>
              </controlPr>
            </control>
          </mc:Choice>
        </mc:AlternateContent>
        <mc:AlternateContent xmlns:mc="http://schemas.openxmlformats.org/markup-compatibility/2006">
          <mc:Choice Requires="x14">
            <control shapeId="1033" r:id="rId5" name="Button 9">
              <controlPr defaultSize="0" print="0" autoFill="0" autoPict="0" macro="[0]!ImprimerPlanning">
                <anchor moveWithCells="1">
                  <from>
                    <xdr:col>5</xdr:col>
                    <xdr:colOff>9525</xdr:colOff>
                    <xdr:row>36</xdr:row>
                    <xdr:rowOff>19050</xdr:rowOff>
                  </from>
                  <to>
                    <xdr:col>5</xdr:col>
                    <xdr:colOff>1628775</xdr:colOff>
                    <xdr:row>37</xdr:row>
                    <xdr:rowOff>190500</xdr:rowOff>
                  </to>
                </anchor>
              </controlPr>
            </control>
          </mc:Choice>
        </mc:AlternateContent>
        <mc:AlternateContent xmlns:mc="http://schemas.openxmlformats.org/markup-compatibility/2006">
          <mc:Choice Requires="x14">
            <control shapeId="1035" r:id="rId6" name="Button 11">
              <controlPr defaultSize="0" print="0" autoFill="0" autoPict="0" macro="[0]!DateAujourdhui">
                <anchor moveWithCells="1" sizeWithCells="1">
                  <from>
                    <xdr:col>2</xdr:col>
                    <xdr:colOff>561975</xdr:colOff>
                    <xdr:row>2</xdr:row>
                    <xdr:rowOff>19050</xdr:rowOff>
                  </from>
                  <to>
                    <xdr:col>3</xdr:col>
                    <xdr:colOff>838200</xdr:colOff>
                    <xdr:row>3</xdr:row>
                    <xdr:rowOff>180975</xdr:rowOff>
                  </to>
                </anchor>
              </controlPr>
            </control>
          </mc:Choice>
        </mc:AlternateContent>
        <mc:AlternateContent xmlns:mc="http://schemas.openxmlformats.org/markup-compatibility/2006">
          <mc:Choice Requires="x14">
            <control shapeId="1036" r:id="rId7" name="Button 12">
              <controlPr defaultSize="0" print="0" autoFill="0" autoPict="0" macro="[0]!DatePlusUn">
                <anchor moveWithCells="1" sizeWithCells="1">
                  <from>
                    <xdr:col>3</xdr:col>
                    <xdr:colOff>847725</xdr:colOff>
                    <xdr:row>0</xdr:row>
                    <xdr:rowOff>0</xdr:rowOff>
                  </from>
                  <to>
                    <xdr:col>4</xdr:col>
                    <xdr:colOff>0</xdr:colOff>
                    <xdr:row>3</xdr:row>
                    <xdr:rowOff>180975</xdr:rowOff>
                  </to>
                </anchor>
              </controlPr>
            </control>
          </mc:Choice>
        </mc:AlternateContent>
        <mc:AlternateContent xmlns:mc="http://schemas.openxmlformats.org/markup-compatibility/2006">
          <mc:Choice Requires="x14">
            <control shapeId="1037" r:id="rId8" name="Button 13">
              <controlPr defaultSize="0" print="0" autoFill="0" autoPict="0" macro="[0]!DateMoinsUn">
                <anchor moveWithCells="1" sizeWithCells="1">
                  <from>
                    <xdr:col>2</xdr:col>
                    <xdr:colOff>19050</xdr:colOff>
                    <xdr:row>2</xdr:row>
                    <xdr:rowOff>19050</xdr:rowOff>
                  </from>
                  <to>
                    <xdr:col>2</xdr:col>
                    <xdr:colOff>542925</xdr:colOff>
                    <xdr:row>3</xdr:row>
                    <xdr:rowOff>180975</xdr:rowOff>
                  </to>
                </anchor>
              </controlPr>
            </control>
          </mc:Choice>
        </mc:AlternateContent>
        <mc:AlternateContent xmlns:mc="http://schemas.openxmlformats.org/markup-compatibility/2006">
          <mc:Choice Requires="x14">
            <control shapeId="1040" r:id="rId9" name="Button 16">
              <controlPr defaultSize="0" print="0" autoFill="0" autoPict="0" macro="[0]!OuvrirGestionPersonnel">
                <anchor moveWithCells="1" sizeWithCells="1">
                  <from>
                    <xdr:col>6</xdr:col>
                    <xdr:colOff>9525</xdr:colOff>
                    <xdr:row>36</xdr:row>
                    <xdr:rowOff>0</xdr:rowOff>
                  </from>
                  <to>
                    <xdr:col>7</xdr:col>
                    <xdr:colOff>9525</xdr:colOff>
                    <xdr:row>37</xdr:row>
                    <xdr:rowOff>200025</xdr:rowOff>
                  </to>
                </anchor>
              </controlPr>
            </control>
          </mc:Choice>
        </mc:AlternateContent>
      </controls>
    </mc:Choice>
  </mc:AlternateContent>
  <tableParts count="2">
    <tablePart r:id="rId10"/>
    <tablePart r:id="rId11"/>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'C:\Users\ncirulli\Documents\NC\[plan jour_nic.xls]Feuil2'!#REF!</xm:f>
          </x14:formula1>
          <xm:sqref>WUN982612:WUN982649 B65208:B65245 IB65108:IB65145 RX65108:RX65145 ABT65108:ABT65145 ALP65108:ALP65145 AVL65108:AVL65145 BFH65108:BFH65145 BPD65108:BPD65145 BYZ65108:BYZ65145 CIV65108:CIV65145 CSR65108:CSR65145 DCN65108:DCN65145 DMJ65108:DMJ65145 DWF65108:DWF65145 EGB65108:EGB65145 EPX65108:EPX65145 EZT65108:EZT65145 FJP65108:FJP65145 FTL65108:FTL65145 GDH65108:GDH65145 GND65108:GND65145 GWZ65108:GWZ65145 HGV65108:HGV65145 HQR65108:HQR65145 IAN65108:IAN65145 IKJ65108:IKJ65145 IUF65108:IUF65145 JEB65108:JEB65145 JNX65108:JNX65145 JXT65108:JXT65145 KHP65108:KHP65145 KRL65108:KRL65145 LBH65108:LBH65145 LLD65108:LLD65145 LUZ65108:LUZ65145 MEV65108:MEV65145 MOR65108:MOR65145 MYN65108:MYN65145 NIJ65108:NIJ65145 NSF65108:NSF65145 OCB65108:OCB65145 OLX65108:OLX65145 OVT65108:OVT65145 PFP65108:PFP65145 PPL65108:PPL65145 PZH65108:PZH65145 QJD65108:QJD65145 QSZ65108:QSZ65145 RCV65108:RCV65145 RMR65108:RMR65145 RWN65108:RWN65145 SGJ65108:SGJ65145 SQF65108:SQF65145 TAB65108:TAB65145 TJX65108:TJX65145 TTT65108:TTT65145 UDP65108:UDP65145 UNL65108:UNL65145 UXH65108:UXH65145 VHD65108:VHD65145 VQZ65108:VQZ65145 WAV65108:WAV65145 WKR65108:WKR65145 WUN65108:WUN65145 B130744:B130781 IB130644:IB130681 RX130644:RX130681 ABT130644:ABT130681 ALP130644:ALP130681 AVL130644:AVL130681 BFH130644:BFH130681 BPD130644:BPD130681 BYZ130644:BYZ130681 CIV130644:CIV130681 CSR130644:CSR130681 DCN130644:DCN130681 DMJ130644:DMJ130681 DWF130644:DWF130681 EGB130644:EGB130681 EPX130644:EPX130681 EZT130644:EZT130681 FJP130644:FJP130681 FTL130644:FTL130681 GDH130644:GDH130681 GND130644:GND130681 GWZ130644:GWZ130681 HGV130644:HGV130681 HQR130644:HQR130681 IAN130644:IAN130681 IKJ130644:IKJ130681 IUF130644:IUF130681 JEB130644:JEB130681 JNX130644:JNX130681 JXT130644:JXT130681 KHP130644:KHP130681 KRL130644:KRL130681 LBH130644:LBH130681 LLD130644:LLD130681 LUZ130644:LUZ130681 MEV130644:MEV130681 MOR130644:MOR130681 MYN130644:MYN130681 NIJ130644:NIJ130681 NSF130644:NSF130681 OCB130644:OCB130681 OLX130644:OLX130681 OVT130644:OVT130681 PFP130644:PFP130681 PPL130644:PPL130681 PZH130644:PZH130681 QJD130644:QJD130681 QSZ130644:QSZ130681 RCV130644:RCV130681 RMR130644:RMR130681 RWN130644:RWN130681 SGJ130644:SGJ130681 SQF130644:SQF130681 TAB130644:TAB130681 TJX130644:TJX130681 TTT130644:TTT130681 UDP130644:UDP130681 UNL130644:UNL130681 UXH130644:UXH130681 VHD130644:VHD130681 VQZ130644:VQZ130681 WAV130644:WAV130681 WKR130644:WKR130681 WUN130644:WUN130681 B196280:B196317 IB196180:IB196217 RX196180:RX196217 ABT196180:ABT196217 ALP196180:ALP196217 AVL196180:AVL196217 BFH196180:BFH196217 BPD196180:BPD196217 BYZ196180:BYZ196217 CIV196180:CIV196217 CSR196180:CSR196217 DCN196180:DCN196217 DMJ196180:DMJ196217 DWF196180:DWF196217 EGB196180:EGB196217 EPX196180:EPX196217 EZT196180:EZT196217 FJP196180:FJP196217 FTL196180:FTL196217 GDH196180:GDH196217 GND196180:GND196217 GWZ196180:GWZ196217 HGV196180:HGV196217 HQR196180:HQR196217 IAN196180:IAN196217 IKJ196180:IKJ196217 IUF196180:IUF196217 JEB196180:JEB196217 JNX196180:JNX196217 JXT196180:JXT196217 KHP196180:KHP196217 KRL196180:KRL196217 LBH196180:LBH196217 LLD196180:LLD196217 LUZ196180:LUZ196217 MEV196180:MEV196217 MOR196180:MOR196217 MYN196180:MYN196217 NIJ196180:NIJ196217 NSF196180:NSF196217 OCB196180:OCB196217 OLX196180:OLX196217 OVT196180:OVT196217 PFP196180:PFP196217 PPL196180:PPL196217 PZH196180:PZH196217 QJD196180:QJD196217 QSZ196180:QSZ196217 RCV196180:RCV196217 RMR196180:RMR196217 RWN196180:RWN196217 SGJ196180:SGJ196217 SQF196180:SQF196217 TAB196180:TAB196217 TJX196180:TJX196217 TTT196180:TTT196217 UDP196180:UDP196217 UNL196180:UNL196217 UXH196180:UXH196217 VHD196180:VHD196217 VQZ196180:VQZ196217 WAV196180:WAV196217 WKR196180:WKR196217 WUN196180:WUN196217 B261816:B261853 IB261716:IB261753 RX261716:RX261753 ABT261716:ABT261753 ALP261716:ALP261753 AVL261716:AVL261753 BFH261716:BFH261753 BPD261716:BPD261753 BYZ261716:BYZ261753 CIV261716:CIV261753 CSR261716:CSR261753 DCN261716:DCN261753 DMJ261716:DMJ261753 DWF261716:DWF261753 EGB261716:EGB261753 EPX261716:EPX261753 EZT261716:EZT261753 FJP261716:FJP261753 FTL261716:FTL261753 GDH261716:GDH261753 GND261716:GND261753 GWZ261716:GWZ261753 HGV261716:HGV261753 HQR261716:HQR261753 IAN261716:IAN261753 IKJ261716:IKJ261753 IUF261716:IUF261753 JEB261716:JEB261753 JNX261716:JNX261753 JXT261716:JXT261753 KHP261716:KHP261753 KRL261716:KRL261753 LBH261716:LBH261753 LLD261716:LLD261753 LUZ261716:LUZ261753 MEV261716:MEV261753 MOR261716:MOR261753 MYN261716:MYN261753 NIJ261716:NIJ261753 NSF261716:NSF261753 OCB261716:OCB261753 OLX261716:OLX261753 OVT261716:OVT261753 PFP261716:PFP261753 PPL261716:PPL261753 PZH261716:PZH261753 QJD261716:QJD261753 QSZ261716:QSZ261753 RCV261716:RCV261753 RMR261716:RMR261753 RWN261716:RWN261753 SGJ261716:SGJ261753 SQF261716:SQF261753 TAB261716:TAB261753 TJX261716:TJX261753 TTT261716:TTT261753 UDP261716:UDP261753 UNL261716:UNL261753 UXH261716:UXH261753 VHD261716:VHD261753 VQZ261716:VQZ261753 WAV261716:WAV261753 WKR261716:WKR261753 WUN261716:WUN261753 B327352:B327389 IB327252:IB327289 RX327252:RX327289 ABT327252:ABT327289 ALP327252:ALP327289 AVL327252:AVL327289 BFH327252:BFH327289 BPD327252:BPD327289 BYZ327252:BYZ327289 CIV327252:CIV327289 CSR327252:CSR327289 DCN327252:DCN327289 DMJ327252:DMJ327289 DWF327252:DWF327289 EGB327252:EGB327289 EPX327252:EPX327289 EZT327252:EZT327289 FJP327252:FJP327289 FTL327252:FTL327289 GDH327252:GDH327289 GND327252:GND327289 GWZ327252:GWZ327289 HGV327252:HGV327289 HQR327252:HQR327289 IAN327252:IAN327289 IKJ327252:IKJ327289 IUF327252:IUF327289 JEB327252:JEB327289 JNX327252:JNX327289 JXT327252:JXT327289 KHP327252:KHP327289 KRL327252:KRL327289 LBH327252:LBH327289 LLD327252:LLD327289 LUZ327252:LUZ327289 MEV327252:MEV327289 MOR327252:MOR327289 MYN327252:MYN327289 NIJ327252:NIJ327289 NSF327252:NSF327289 OCB327252:OCB327289 OLX327252:OLX327289 OVT327252:OVT327289 PFP327252:PFP327289 PPL327252:PPL327289 PZH327252:PZH327289 QJD327252:QJD327289 QSZ327252:QSZ327289 RCV327252:RCV327289 RMR327252:RMR327289 RWN327252:RWN327289 SGJ327252:SGJ327289 SQF327252:SQF327289 TAB327252:TAB327289 TJX327252:TJX327289 TTT327252:TTT327289 UDP327252:UDP327289 UNL327252:UNL327289 UXH327252:UXH327289 VHD327252:VHD327289 VQZ327252:VQZ327289 WAV327252:WAV327289 WKR327252:WKR327289 WUN327252:WUN327289 B392888:B392925 IB392788:IB392825 RX392788:RX392825 ABT392788:ABT392825 ALP392788:ALP392825 AVL392788:AVL392825 BFH392788:BFH392825 BPD392788:BPD392825 BYZ392788:BYZ392825 CIV392788:CIV392825 CSR392788:CSR392825 DCN392788:DCN392825 DMJ392788:DMJ392825 DWF392788:DWF392825 EGB392788:EGB392825 EPX392788:EPX392825 EZT392788:EZT392825 FJP392788:FJP392825 FTL392788:FTL392825 GDH392788:GDH392825 GND392788:GND392825 GWZ392788:GWZ392825 HGV392788:HGV392825 HQR392788:HQR392825 IAN392788:IAN392825 IKJ392788:IKJ392825 IUF392788:IUF392825 JEB392788:JEB392825 JNX392788:JNX392825 JXT392788:JXT392825 KHP392788:KHP392825 KRL392788:KRL392825 LBH392788:LBH392825 LLD392788:LLD392825 LUZ392788:LUZ392825 MEV392788:MEV392825 MOR392788:MOR392825 MYN392788:MYN392825 NIJ392788:NIJ392825 NSF392788:NSF392825 OCB392788:OCB392825 OLX392788:OLX392825 OVT392788:OVT392825 PFP392788:PFP392825 PPL392788:PPL392825 PZH392788:PZH392825 QJD392788:QJD392825 QSZ392788:QSZ392825 RCV392788:RCV392825 RMR392788:RMR392825 RWN392788:RWN392825 SGJ392788:SGJ392825 SQF392788:SQF392825 TAB392788:TAB392825 TJX392788:TJX392825 TTT392788:TTT392825 UDP392788:UDP392825 UNL392788:UNL392825 UXH392788:UXH392825 VHD392788:VHD392825 VQZ392788:VQZ392825 WAV392788:WAV392825 WKR392788:WKR392825 WUN392788:WUN392825 B458424:B458461 IB458324:IB458361 RX458324:RX458361 ABT458324:ABT458361 ALP458324:ALP458361 AVL458324:AVL458361 BFH458324:BFH458361 BPD458324:BPD458361 BYZ458324:BYZ458361 CIV458324:CIV458361 CSR458324:CSR458361 DCN458324:DCN458361 DMJ458324:DMJ458361 DWF458324:DWF458361 EGB458324:EGB458361 EPX458324:EPX458361 EZT458324:EZT458361 FJP458324:FJP458361 FTL458324:FTL458361 GDH458324:GDH458361 GND458324:GND458361 GWZ458324:GWZ458361 HGV458324:HGV458361 HQR458324:HQR458361 IAN458324:IAN458361 IKJ458324:IKJ458361 IUF458324:IUF458361 JEB458324:JEB458361 JNX458324:JNX458361 JXT458324:JXT458361 KHP458324:KHP458361 KRL458324:KRL458361 LBH458324:LBH458361 LLD458324:LLD458361 LUZ458324:LUZ458361 MEV458324:MEV458361 MOR458324:MOR458361 MYN458324:MYN458361 NIJ458324:NIJ458361 NSF458324:NSF458361 OCB458324:OCB458361 OLX458324:OLX458361 OVT458324:OVT458361 PFP458324:PFP458361 PPL458324:PPL458361 PZH458324:PZH458361 QJD458324:QJD458361 QSZ458324:QSZ458361 RCV458324:RCV458361 RMR458324:RMR458361 RWN458324:RWN458361 SGJ458324:SGJ458361 SQF458324:SQF458361 TAB458324:TAB458361 TJX458324:TJX458361 TTT458324:TTT458361 UDP458324:UDP458361 UNL458324:UNL458361 UXH458324:UXH458361 VHD458324:VHD458361 VQZ458324:VQZ458361 WAV458324:WAV458361 WKR458324:WKR458361 WUN458324:WUN458361 B523960:B523997 IB523860:IB523897 RX523860:RX523897 ABT523860:ABT523897 ALP523860:ALP523897 AVL523860:AVL523897 BFH523860:BFH523897 BPD523860:BPD523897 BYZ523860:BYZ523897 CIV523860:CIV523897 CSR523860:CSR523897 DCN523860:DCN523897 DMJ523860:DMJ523897 DWF523860:DWF523897 EGB523860:EGB523897 EPX523860:EPX523897 EZT523860:EZT523897 FJP523860:FJP523897 FTL523860:FTL523897 GDH523860:GDH523897 GND523860:GND523897 GWZ523860:GWZ523897 HGV523860:HGV523897 HQR523860:HQR523897 IAN523860:IAN523897 IKJ523860:IKJ523897 IUF523860:IUF523897 JEB523860:JEB523897 JNX523860:JNX523897 JXT523860:JXT523897 KHP523860:KHP523897 KRL523860:KRL523897 LBH523860:LBH523897 LLD523860:LLD523897 LUZ523860:LUZ523897 MEV523860:MEV523897 MOR523860:MOR523897 MYN523860:MYN523897 NIJ523860:NIJ523897 NSF523860:NSF523897 OCB523860:OCB523897 OLX523860:OLX523897 OVT523860:OVT523897 PFP523860:PFP523897 PPL523860:PPL523897 PZH523860:PZH523897 QJD523860:QJD523897 QSZ523860:QSZ523897 RCV523860:RCV523897 RMR523860:RMR523897 RWN523860:RWN523897 SGJ523860:SGJ523897 SQF523860:SQF523897 TAB523860:TAB523897 TJX523860:TJX523897 TTT523860:TTT523897 UDP523860:UDP523897 UNL523860:UNL523897 UXH523860:UXH523897 VHD523860:VHD523897 VQZ523860:VQZ523897 WAV523860:WAV523897 WKR523860:WKR523897 WUN523860:WUN523897 B589496:B589533 IB589396:IB589433 RX589396:RX589433 ABT589396:ABT589433 ALP589396:ALP589433 AVL589396:AVL589433 BFH589396:BFH589433 BPD589396:BPD589433 BYZ589396:BYZ589433 CIV589396:CIV589433 CSR589396:CSR589433 DCN589396:DCN589433 DMJ589396:DMJ589433 DWF589396:DWF589433 EGB589396:EGB589433 EPX589396:EPX589433 EZT589396:EZT589433 FJP589396:FJP589433 FTL589396:FTL589433 GDH589396:GDH589433 GND589396:GND589433 GWZ589396:GWZ589433 HGV589396:HGV589433 HQR589396:HQR589433 IAN589396:IAN589433 IKJ589396:IKJ589433 IUF589396:IUF589433 JEB589396:JEB589433 JNX589396:JNX589433 JXT589396:JXT589433 KHP589396:KHP589433 KRL589396:KRL589433 LBH589396:LBH589433 LLD589396:LLD589433 LUZ589396:LUZ589433 MEV589396:MEV589433 MOR589396:MOR589433 MYN589396:MYN589433 NIJ589396:NIJ589433 NSF589396:NSF589433 OCB589396:OCB589433 OLX589396:OLX589433 OVT589396:OVT589433 PFP589396:PFP589433 PPL589396:PPL589433 PZH589396:PZH589433 QJD589396:QJD589433 QSZ589396:QSZ589433 RCV589396:RCV589433 RMR589396:RMR589433 RWN589396:RWN589433 SGJ589396:SGJ589433 SQF589396:SQF589433 TAB589396:TAB589433 TJX589396:TJX589433 TTT589396:TTT589433 UDP589396:UDP589433 UNL589396:UNL589433 UXH589396:UXH589433 VHD589396:VHD589433 VQZ589396:VQZ589433 WAV589396:WAV589433 WKR589396:WKR589433 WUN589396:WUN589433 B655032:B655069 IB654932:IB654969 RX654932:RX654969 ABT654932:ABT654969 ALP654932:ALP654969 AVL654932:AVL654969 BFH654932:BFH654969 BPD654932:BPD654969 BYZ654932:BYZ654969 CIV654932:CIV654969 CSR654932:CSR654969 DCN654932:DCN654969 DMJ654932:DMJ654969 DWF654932:DWF654969 EGB654932:EGB654969 EPX654932:EPX654969 EZT654932:EZT654969 FJP654932:FJP654969 FTL654932:FTL654969 GDH654932:GDH654969 GND654932:GND654969 GWZ654932:GWZ654969 HGV654932:HGV654969 HQR654932:HQR654969 IAN654932:IAN654969 IKJ654932:IKJ654969 IUF654932:IUF654969 JEB654932:JEB654969 JNX654932:JNX654969 JXT654932:JXT654969 KHP654932:KHP654969 KRL654932:KRL654969 LBH654932:LBH654969 LLD654932:LLD654969 LUZ654932:LUZ654969 MEV654932:MEV654969 MOR654932:MOR654969 MYN654932:MYN654969 NIJ654932:NIJ654969 NSF654932:NSF654969 OCB654932:OCB654969 OLX654932:OLX654969 OVT654932:OVT654969 PFP654932:PFP654969 PPL654932:PPL654969 PZH654932:PZH654969 QJD654932:QJD654969 QSZ654932:QSZ654969 RCV654932:RCV654969 RMR654932:RMR654969 RWN654932:RWN654969 SGJ654932:SGJ654969 SQF654932:SQF654969 TAB654932:TAB654969 TJX654932:TJX654969 TTT654932:TTT654969 UDP654932:UDP654969 UNL654932:UNL654969 UXH654932:UXH654969 VHD654932:VHD654969 VQZ654932:VQZ654969 WAV654932:WAV654969 WKR654932:WKR654969 WUN654932:WUN654969 B720568:B720605 IB720468:IB720505 RX720468:RX720505 ABT720468:ABT720505 ALP720468:ALP720505 AVL720468:AVL720505 BFH720468:BFH720505 BPD720468:BPD720505 BYZ720468:BYZ720505 CIV720468:CIV720505 CSR720468:CSR720505 DCN720468:DCN720505 DMJ720468:DMJ720505 DWF720468:DWF720505 EGB720468:EGB720505 EPX720468:EPX720505 EZT720468:EZT720505 FJP720468:FJP720505 FTL720468:FTL720505 GDH720468:GDH720505 GND720468:GND720505 GWZ720468:GWZ720505 HGV720468:HGV720505 HQR720468:HQR720505 IAN720468:IAN720505 IKJ720468:IKJ720505 IUF720468:IUF720505 JEB720468:JEB720505 JNX720468:JNX720505 JXT720468:JXT720505 KHP720468:KHP720505 KRL720468:KRL720505 LBH720468:LBH720505 LLD720468:LLD720505 LUZ720468:LUZ720505 MEV720468:MEV720505 MOR720468:MOR720505 MYN720468:MYN720505 NIJ720468:NIJ720505 NSF720468:NSF720505 OCB720468:OCB720505 OLX720468:OLX720505 OVT720468:OVT720505 PFP720468:PFP720505 PPL720468:PPL720505 PZH720468:PZH720505 QJD720468:QJD720505 QSZ720468:QSZ720505 RCV720468:RCV720505 RMR720468:RMR720505 RWN720468:RWN720505 SGJ720468:SGJ720505 SQF720468:SQF720505 TAB720468:TAB720505 TJX720468:TJX720505 TTT720468:TTT720505 UDP720468:UDP720505 UNL720468:UNL720505 UXH720468:UXH720505 VHD720468:VHD720505 VQZ720468:VQZ720505 WAV720468:WAV720505 WKR720468:WKR720505 WUN720468:WUN720505 B786104:B786141 IB786004:IB786041 RX786004:RX786041 ABT786004:ABT786041 ALP786004:ALP786041 AVL786004:AVL786041 BFH786004:BFH786041 BPD786004:BPD786041 BYZ786004:BYZ786041 CIV786004:CIV786041 CSR786004:CSR786041 DCN786004:DCN786041 DMJ786004:DMJ786041 DWF786004:DWF786041 EGB786004:EGB786041 EPX786004:EPX786041 EZT786004:EZT786041 FJP786004:FJP786041 FTL786004:FTL786041 GDH786004:GDH786041 GND786004:GND786041 GWZ786004:GWZ786041 HGV786004:HGV786041 HQR786004:HQR786041 IAN786004:IAN786041 IKJ786004:IKJ786041 IUF786004:IUF786041 JEB786004:JEB786041 JNX786004:JNX786041 JXT786004:JXT786041 KHP786004:KHP786041 KRL786004:KRL786041 LBH786004:LBH786041 LLD786004:LLD786041 LUZ786004:LUZ786041 MEV786004:MEV786041 MOR786004:MOR786041 MYN786004:MYN786041 NIJ786004:NIJ786041 NSF786004:NSF786041 OCB786004:OCB786041 OLX786004:OLX786041 OVT786004:OVT786041 PFP786004:PFP786041 PPL786004:PPL786041 PZH786004:PZH786041 QJD786004:QJD786041 QSZ786004:QSZ786041 RCV786004:RCV786041 RMR786004:RMR786041 RWN786004:RWN786041 SGJ786004:SGJ786041 SQF786004:SQF786041 TAB786004:TAB786041 TJX786004:TJX786041 TTT786004:TTT786041 UDP786004:UDP786041 UNL786004:UNL786041 UXH786004:UXH786041 VHD786004:VHD786041 VQZ786004:VQZ786041 WAV786004:WAV786041 WKR786004:WKR786041 WUN786004:WUN786041 B851640:B851677 IB851540:IB851577 RX851540:RX851577 ABT851540:ABT851577 ALP851540:ALP851577 AVL851540:AVL851577 BFH851540:BFH851577 BPD851540:BPD851577 BYZ851540:BYZ851577 CIV851540:CIV851577 CSR851540:CSR851577 DCN851540:DCN851577 DMJ851540:DMJ851577 DWF851540:DWF851577 EGB851540:EGB851577 EPX851540:EPX851577 EZT851540:EZT851577 FJP851540:FJP851577 FTL851540:FTL851577 GDH851540:GDH851577 GND851540:GND851577 GWZ851540:GWZ851577 HGV851540:HGV851577 HQR851540:HQR851577 IAN851540:IAN851577 IKJ851540:IKJ851577 IUF851540:IUF851577 JEB851540:JEB851577 JNX851540:JNX851577 JXT851540:JXT851577 KHP851540:KHP851577 KRL851540:KRL851577 LBH851540:LBH851577 LLD851540:LLD851577 LUZ851540:LUZ851577 MEV851540:MEV851577 MOR851540:MOR851577 MYN851540:MYN851577 NIJ851540:NIJ851577 NSF851540:NSF851577 OCB851540:OCB851577 OLX851540:OLX851577 OVT851540:OVT851577 PFP851540:PFP851577 PPL851540:PPL851577 PZH851540:PZH851577 QJD851540:QJD851577 QSZ851540:QSZ851577 RCV851540:RCV851577 RMR851540:RMR851577 RWN851540:RWN851577 SGJ851540:SGJ851577 SQF851540:SQF851577 TAB851540:TAB851577 TJX851540:TJX851577 TTT851540:TTT851577 UDP851540:UDP851577 UNL851540:UNL851577 UXH851540:UXH851577 VHD851540:VHD851577 VQZ851540:VQZ851577 WAV851540:WAV851577 WKR851540:WKR851577 WUN851540:WUN851577 B917176:B917213 IB917076:IB917113 RX917076:RX917113 ABT917076:ABT917113 ALP917076:ALP917113 AVL917076:AVL917113 BFH917076:BFH917113 BPD917076:BPD917113 BYZ917076:BYZ917113 CIV917076:CIV917113 CSR917076:CSR917113 DCN917076:DCN917113 DMJ917076:DMJ917113 DWF917076:DWF917113 EGB917076:EGB917113 EPX917076:EPX917113 EZT917076:EZT917113 FJP917076:FJP917113 FTL917076:FTL917113 GDH917076:GDH917113 GND917076:GND917113 GWZ917076:GWZ917113 HGV917076:HGV917113 HQR917076:HQR917113 IAN917076:IAN917113 IKJ917076:IKJ917113 IUF917076:IUF917113 JEB917076:JEB917113 JNX917076:JNX917113 JXT917076:JXT917113 KHP917076:KHP917113 KRL917076:KRL917113 LBH917076:LBH917113 LLD917076:LLD917113 LUZ917076:LUZ917113 MEV917076:MEV917113 MOR917076:MOR917113 MYN917076:MYN917113 NIJ917076:NIJ917113 NSF917076:NSF917113 OCB917076:OCB917113 OLX917076:OLX917113 OVT917076:OVT917113 PFP917076:PFP917113 PPL917076:PPL917113 PZH917076:PZH917113 QJD917076:QJD917113 QSZ917076:QSZ917113 RCV917076:RCV917113 RMR917076:RMR917113 RWN917076:RWN917113 SGJ917076:SGJ917113 SQF917076:SQF917113 TAB917076:TAB917113 TJX917076:TJX917113 TTT917076:TTT917113 UDP917076:UDP917113 UNL917076:UNL917113 UXH917076:UXH917113 VHD917076:VHD917113 VQZ917076:VQZ917113 WAV917076:WAV917113 WKR917076:WKR917113 WUN917076:WUN917113 B982712:B982749 IB982612:IB982649 RX982612:RX982649 ABT982612:ABT982649 ALP982612:ALP982649 AVL982612:AVL982649 BFH982612:BFH982649 BPD982612:BPD982649 BYZ982612:BYZ982649 CIV982612:CIV982649 CSR982612:CSR982649 DCN982612:DCN982649 DMJ982612:DMJ982649 DWF982612:DWF982649 EGB982612:EGB982649 EPX982612:EPX982649 EZT982612:EZT982649 FJP982612:FJP982649 FTL982612:FTL982649 GDH982612:GDH982649 GND982612:GND982649 GWZ982612:GWZ982649 HGV982612:HGV982649 HQR982612:HQR982649 IAN982612:IAN982649 IKJ982612:IKJ982649 IUF982612:IUF982649 JEB982612:JEB982649 JNX982612:JNX982649 JXT982612:JXT982649 KHP982612:KHP982649 KRL982612:KRL982649 LBH982612:LBH982649 LLD982612:LLD982649 LUZ982612:LUZ982649 MEV982612:MEV982649 MOR982612:MOR982649 MYN982612:MYN982649 NIJ982612:NIJ982649 NSF982612:NSF982649 OCB982612:OCB982649 OLX982612:OLX982649 OVT982612:OVT982649 PFP982612:PFP982649 PPL982612:PPL982649 PZH982612:PZH982649 QJD982612:QJD982649 QSZ982612:QSZ982649 RCV982612:RCV982649 RMR982612:RMR982649 RWN982612:RWN982649 SGJ982612:SGJ982649 SQF982612:SQF982649 TAB982612:TAB982649 TJX982612:TJX982649 TTT982612:TTT982649 UDP982612:UDP982649 UNL982612:UNL982649 UXH982612:UXH982649 VHD982612:VHD982649 VQZ982612:VQZ982649 WAV982612:WAV982649 WKR982612:WKR982649</xm:sqref>
        </x14:dataValidation>
        <x14:dataValidation type="list" allowBlank="1" showInputMessage="1" showErrorMessage="1">
          <x14:formula1>
            <xm:f>Liste!$A$1:$A$4</xm:f>
          </x14:formula1>
          <xm:sqref>G28:G29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W38"/>
  <sheetViews>
    <sheetView workbookViewId="0">
      <pane xSplit="2" ySplit="1" topLeftCell="M2" activePane="bottomRight" state="frozen"/>
      <selection pane="topRight" activeCell="C1" sqref="C1"/>
      <selection pane="bottomLeft" activeCell="A2" sqref="A2"/>
      <selection pane="bottomRight" activeCell="A43" sqref="A43"/>
    </sheetView>
  </sheetViews>
  <sheetFormatPr baseColWidth="10" defaultRowHeight="15" x14ac:dyDescent="0.25"/>
  <cols>
    <col min="1" max="1" width="11.5703125" customWidth="1"/>
    <col min="2" max="2" width="21.7109375" bestFit="1" customWidth="1"/>
    <col min="3" max="3" width="12.5703125" customWidth="1"/>
    <col min="4" max="9" width="11.5703125" customWidth="1"/>
    <col min="10" max="21" width="12.5703125" customWidth="1"/>
    <col min="22" max="22" width="14" bestFit="1" customWidth="1"/>
    <col min="23" max="23" width="12.5703125" customWidth="1"/>
  </cols>
  <sheetData>
    <row r="1" spans="1:23" x14ac:dyDescent="0.25">
      <c r="A1" t="s">
        <v>185</v>
      </c>
      <c r="B1" t="s">
        <v>68</v>
      </c>
      <c r="C1" t="s">
        <v>186</v>
      </c>
      <c r="D1" t="s">
        <v>187</v>
      </c>
      <c r="E1" t="s">
        <v>188</v>
      </c>
      <c r="F1" t="s">
        <v>20</v>
      </c>
      <c r="G1" t="s">
        <v>21</v>
      </c>
      <c r="H1" t="s">
        <v>22</v>
      </c>
      <c r="I1" t="s">
        <v>23</v>
      </c>
      <c r="J1" t="s">
        <v>24</v>
      </c>
      <c r="K1" t="s">
        <v>25</v>
      </c>
      <c r="L1" t="s">
        <v>26</v>
      </c>
      <c r="M1" t="s">
        <v>189</v>
      </c>
      <c r="N1" t="s">
        <v>190</v>
      </c>
      <c r="O1" t="s">
        <v>191</v>
      </c>
      <c r="P1" t="s">
        <v>73</v>
      </c>
      <c r="Q1" t="s">
        <v>192</v>
      </c>
      <c r="R1" t="s">
        <v>193</v>
      </c>
      <c r="S1" t="s">
        <v>194</v>
      </c>
      <c r="T1" t="s">
        <v>195</v>
      </c>
      <c r="U1" t="s">
        <v>196</v>
      </c>
      <c r="V1" t="s">
        <v>197</v>
      </c>
      <c r="W1" t="s">
        <v>198</v>
      </c>
    </row>
    <row r="2" spans="1:23" x14ac:dyDescent="0.25">
      <c r="A2" t="s">
        <v>208</v>
      </c>
      <c r="B2" t="s">
        <v>8</v>
      </c>
      <c r="C2" t="s">
        <v>209</v>
      </c>
      <c r="D2" t="s">
        <v>210</v>
      </c>
      <c r="E2" t="s">
        <v>211</v>
      </c>
      <c r="F2" t="s">
        <v>212</v>
      </c>
      <c r="G2" t="s">
        <v>212</v>
      </c>
      <c r="H2" t="s">
        <v>212</v>
      </c>
      <c r="I2" t="s">
        <v>212</v>
      </c>
      <c r="J2" t="s">
        <v>212</v>
      </c>
      <c r="K2" t="s">
        <v>211</v>
      </c>
      <c r="L2" t="s">
        <v>211</v>
      </c>
      <c r="M2">
        <v>1</v>
      </c>
      <c r="N2">
        <v>1</v>
      </c>
      <c r="O2">
        <v>1</v>
      </c>
      <c r="P2">
        <v>1</v>
      </c>
      <c r="Q2">
        <v>1</v>
      </c>
      <c r="R2">
        <v>6</v>
      </c>
      <c r="S2">
        <v>7</v>
      </c>
      <c r="T2">
        <v>3</v>
      </c>
      <c r="U2">
        <v>3</v>
      </c>
      <c r="V2">
        <v>2</v>
      </c>
      <c r="W2">
        <v>2</v>
      </c>
    </row>
    <row r="3" spans="1:23" ht="14.25" customHeight="1" x14ac:dyDescent="0.25">
      <c r="A3" t="s">
        <v>213</v>
      </c>
      <c r="B3" t="s">
        <v>9</v>
      </c>
      <c r="C3" t="s">
        <v>209</v>
      </c>
      <c r="D3" t="s">
        <v>210</v>
      </c>
      <c r="E3" t="s">
        <v>211</v>
      </c>
      <c r="F3" t="s">
        <v>212</v>
      </c>
      <c r="G3" t="s">
        <v>212</v>
      </c>
      <c r="H3" t="s">
        <v>212</v>
      </c>
      <c r="I3" t="s">
        <v>212</v>
      </c>
      <c r="J3" t="s">
        <v>214</v>
      </c>
      <c r="K3" t="s">
        <v>211</v>
      </c>
      <c r="L3" t="s">
        <v>211</v>
      </c>
      <c r="M3">
        <v>1</v>
      </c>
      <c r="N3">
        <v>1</v>
      </c>
      <c r="O3">
        <v>1</v>
      </c>
      <c r="P3">
        <v>1</v>
      </c>
      <c r="Q3">
        <v>1</v>
      </c>
      <c r="R3">
        <v>5</v>
      </c>
      <c r="S3">
        <v>6</v>
      </c>
      <c r="T3">
        <v>5</v>
      </c>
      <c r="U3">
        <v>2</v>
      </c>
      <c r="V3">
        <v>1</v>
      </c>
      <c r="W3">
        <v>1</v>
      </c>
    </row>
    <row r="4" spans="1:23" x14ac:dyDescent="0.25">
      <c r="A4" t="s">
        <v>215</v>
      </c>
      <c r="B4" t="s">
        <v>10</v>
      </c>
      <c r="C4" t="s">
        <v>209</v>
      </c>
      <c r="D4" t="s">
        <v>210</v>
      </c>
      <c r="E4" t="s">
        <v>211</v>
      </c>
      <c r="F4" t="s">
        <v>212</v>
      </c>
      <c r="G4" t="s">
        <v>214</v>
      </c>
      <c r="H4" t="s">
        <v>212</v>
      </c>
      <c r="I4" t="s">
        <v>211</v>
      </c>
      <c r="J4" t="s">
        <v>212</v>
      </c>
      <c r="K4" t="s">
        <v>211</v>
      </c>
      <c r="L4" t="s">
        <v>211</v>
      </c>
      <c r="M4">
        <v>1</v>
      </c>
      <c r="N4">
        <v>1</v>
      </c>
      <c r="O4">
        <v>1</v>
      </c>
      <c r="P4">
        <v>1</v>
      </c>
      <c r="Q4">
        <v>1</v>
      </c>
      <c r="R4">
        <v>7</v>
      </c>
      <c r="S4">
        <v>6</v>
      </c>
      <c r="T4">
        <v>5</v>
      </c>
      <c r="U4">
        <v>1</v>
      </c>
      <c r="V4">
        <v>1</v>
      </c>
      <c r="W4">
        <v>0</v>
      </c>
    </row>
    <row r="5" spans="1:23" x14ac:dyDescent="0.25">
      <c r="A5" t="s">
        <v>216</v>
      </c>
      <c r="B5" t="s">
        <v>11</v>
      </c>
      <c r="C5" t="s">
        <v>209</v>
      </c>
      <c r="D5" t="s">
        <v>210</v>
      </c>
      <c r="E5" t="s">
        <v>211</v>
      </c>
      <c r="F5" t="s">
        <v>212</v>
      </c>
      <c r="G5" t="s">
        <v>212</v>
      </c>
      <c r="H5" t="s">
        <v>212</v>
      </c>
      <c r="I5" t="s">
        <v>212</v>
      </c>
      <c r="J5" t="s">
        <v>212</v>
      </c>
      <c r="K5" t="s">
        <v>211</v>
      </c>
      <c r="L5" t="s">
        <v>211</v>
      </c>
      <c r="M5">
        <v>1</v>
      </c>
      <c r="N5">
        <v>1</v>
      </c>
      <c r="O5">
        <v>1</v>
      </c>
      <c r="P5">
        <v>1</v>
      </c>
      <c r="Q5">
        <v>1</v>
      </c>
      <c r="R5">
        <v>8</v>
      </c>
      <c r="S5">
        <v>7</v>
      </c>
      <c r="T5">
        <v>4</v>
      </c>
      <c r="U5">
        <v>1</v>
      </c>
      <c r="V5">
        <v>1</v>
      </c>
      <c r="W5">
        <v>1</v>
      </c>
    </row>
    <row r="6" spans="1:23" x14ac:dyDescent="0.25">
      <c r="A6" t="s">
        <v>217</v>
      </c>
      <c r="B6" t="s">
        <v>12</v>
      </c>
      <c r="C6" t="s">
        <v>209</v>
      </c>
      <c r="D6" t="s">
        <v>210</v>
      </c>
      <c r="E6" t="s">
        <v>211</v>
      </c>
      <c r="F6" t="s">
        <v>212</v>
      </c>
      <c r="G6" t="s">
        <v>212</v>
      </c>
      <c r="H6" t="s">
        <v>214</v>
      </c>
      <c r="I6" t="s">
        <v>214</v>
      </c>
      <c r="J6" t="s">
        <v>214</v>
      </c>
      <c r="K6" t="s">
        <v>211</v>
      </c>
      <c r="L6" t="s">
        <v>211</v>
      </c>
      <c r="M6">
        <v>1</v>
      </c>
      <c r="N6">
        <v>1</v>
      </c>
      <c r="O6">
        <v>1</v>
      </c>
      <c r="P6">
        <v>1</v>
      </c>
      <c r="Q6">
        <v>1</v>
      </c>
      <c r="R6">
        <v>7</v>
      </c>
      <c r="S6">
        <v>8</v>
      </c>
      <c r="T6">
        <v>5</v>
      </c>
      <c r="U6">
        <v>1</v>
      </c>
      <c r="V6">
        <v>1</v>
      </c>
      <c r="W6">
        <v>1</v>
      </c>
    </row>
    <row r="7" spans="1:23" x14ac:dyDescent="0.25">
      <c r="A7" t="s">
        <v>218</v>
      </c>
      <c r="B7" t="s">
        <v>13</v>
      </c>
      <c r="C7" t="s">
        <v>209</v>
      </c>
      <c r="D7" t="s">
        <v>210</v>
      </c>
      <c r="E7" t="s">
        <v>211</v>
      </c>
      <c r="F7" t="s">
        <v>212</v>
      </c>
      <c r="G7" t="s">
        <v>212</v>
      </c>
      <c r="H7" t="s">
        <v>212</v>
      </c>
      <c r="I7" t="s">
        <v>212</v>
      </c>
      <c r="J7" t="s">
        <v>212</v>
      </c>
      <c r="K7" t="s">
        <v>211</v>
      </c>
      <c r="L7" t="s">
        <v>211</v>
      </c>
      <c r="M7">
        <v>1</v>
      </c>
      <c r="N7">
        <v>1</v>
      </c>
      <c r="O7">
        <v>1</v>
      </c>
      <c r="P7">
        <v>1</v>
      </c>
      <c r="Q7">
        <v>1</v>
      </c>
      <c r="R7">
        <v>4</v>
      </c>
      <c r="S7">
        <v>7</v>
      </c>
      <c r="T7">
        <v>4</v>
      </c>
      <c r="U7">
        <v>3</v>
      </c>
      <c r="V7">
        <v>0</v>
      </c>
      <c r="W7">
        <v>0</v>
      </c>
    </row>
    <row r="8" spans="1:23" x14ac:dyDescent="0.25">
      <c r="A8" t="s">
        <v>219</v>
      </c>
      <c r="B8" t="s">
        <v>14</v>
      </c>
      <c r="C8" t="s">
        <v>209</v>
      </c>
      <c r="D8" t="s">
        <v>210</v>
      </c>
      <c r="E8" t="s">
        <v>211</v>
      </c>
      <c r="F8" t="s">
        <v>214</v>
      </c>
      <c r="G8" t="s">
        <v>212</v>
      </c>
      <c r="H8" t="s">
        <v>212</v>
      </c>
      <c r="I8" t="s">
        <v>212</v>
      </c>
      <c r="J8" t="s">
        <v>212</v>
      </c>
      <c r="K8" t="s">
        <v>211</v>
      </c>
      <c r="L8" t="s">
        <v>211</v>
      </c>
      <c r="M8">
        <v>1</v>
      </c>
      <c r="N8">
        <v>1</v>
      </c>
      <c r="O8">
        <v>1</v>
      </c>
      <c r="P8">
        <v>1</v>
      </c>
      <c r="Q8">
        <v>1</v>
      </c>
      <c r="R8">
        <v>8</v>
      </c>
      <c r="S8">
        <v>6</v>
      </c>
      <c r="T8">
        <v>4</v>
      </c>
      <c r="U8">
        <v>3</v>
      </c>
      <c r="V8">
        <v>0</v>
      </c>
      <c r="W8">
        <v>2</v>
      </c>
    </row>
    <row r="9" spans="1:23" x14ac:dyDescent="0.25">
      <c r="A9" t="s">
        <v>220</v>
      </c>
      <c r="B9" t="s">
        <v>15</v>
      </c>
      <c r="C9" t="s">
        <v>209</v>
      </c>
      <c r="D9" t="s">
        <v>210</v>
      </c>
      <c r="E9" t="s">
        <v>211</v>
      </c>
      <c r="F9" t="s">
        <v>212</v>
      </c>
      <c r="G9" t="s">
        <v>212</v>
      </c>
      <c r="H9" t="s">
        <v>212</v>
      </c>
      <c r="I9" t="s">
        <v>212</v>
      </c>
      <c r="J9" t="s">
        <v>212</v>
      </c>
      <c r="K9" t="s">
        <v>211</v>
      </c>
      <c r="L9" t="s">
        <v>211</v>
      </c>
      <c r="M9">
        <v>1</v>
      </c>
      <c r="N9">
        <v>1</v>
      </c>
      <c r="O9">
        <v>1</v>
      </c>
      <c r="P9">
        <v>1</v>
      </c>
      <c r="Q9">
        <v>1</v>
      </c>
      <c r="R9">
        <v>3</v>
      </c>
      <c r="S9">
        <v>2</v>
      </c>
      <c r="T9">
        <v>1</v>
      </c>
      <c r="U9">
        <v>1</v>
      </c>
      <c r="V9">
        <v>1</v>
      </c>
      <c r="W9">
        <v>0</v>
      </c>
    </row>
    <row r="10" spans="1:23" x14ac:dyDescent="0.25">
      <c r="A10" t="s">
        <v>221</v>
      </c>
      <c r="B10" t="s">
        <v>16</v>
      </c>
      <c r="C10" t="s">
        <v>209</v>
      </c>
      <c r="D10" t="s">
        <v>210</v>
      </c>
      <c r="E10" t="s">
        <v>211</v>
      </c>
      <c r="F10" t="s">
        <v>212</v>
      </c>
      <c r="G10" t="s">
        <v>212</v>
      </c>
      <c r="H10" t="s">
        <v>212</v>
      </c>
      <c r="I10" t="s">
        <v>212</v>
      </c>
      <c r="J10" t="s">
        <v>212</v>
      </c>
      <c r="K10" t="s">
        <v>211</v>
      </c>
      <c r="L10" t="s">
        <v>211</v>
      </c>
      <c r="M10">
        <v>1</v>
      </c>
      <c r="N10">
        <v>1</v>
      </c>
      <c r="O10">
        <v>1</v>
      </c>
      <c r="P10">
        <v>1</v>
      </c>
      <c r="Q10">
        <v>1</v>
      </c>
      <c r="R10">
        <v>6</v>
      </c>
      <c r="S10">
        <v>6</v>
      </c>
      <c r="T10">
        <v>4</v>
      </c>
      <c r="U10">
        <v>2</v>
      </c>
      <c r="V10">
        <v>1</v>
      </c>
      <c r="W10">
        <v>0</v>
      </c>
    </row>
    <row r="11" spans="1:23" x14ac:dyDescent="0.25">
      <c r="A11" t="s">
        <v>222</v>
      </c>
      <c r="B11" t="s">
        <v>17</v>
      </c>
      <c r="C11" t="s">
        <v>209</v>
      </c>
      <c r="D11" t="s">
        <v>210</v>
      </c>
      <c r="E11" t="s">
        <v>211</v>
      </c>
      <c r="F11" t="s">
        <v>212</v>
      </c>
      <c r="G11" t="s">
        <v>214</v>
      </c>
      <c r="H11" t="s">
        <v>212</v>
      </c>
      <c r="I11" t="s">
        <v>212</v>
      </c>
      <c r="J11" t="s">
        <v>212</v>
      </c>
      <c r="K11" t="s">
        <v>211</v>
      </c>
      <c r="L11" t="s">
        <v>211</v>
      </c>
      <c r="M11">
        <v>1</v>
      </c>
      <c r="N11">
        <v>1</v>
      </c>
      <c r="O11">
        <v>1</v>
      </c>
      <c r="P11">
        <v>1</v>
      </c>
      <c r="Q11">
        <v>1</v>
      </c>
      <c r="R11">
        <v>3</v>
      </c>
      <c r="S11">
        <v>0</v>
      </c>
      <c r="T11">
        <v>1</v>
      </c>
      <c r="U11">
        <v>1</v>
      </c>
      <c r="V11">
        <v>0</v>
      </c>
      <c r="W11">
        <v>1</v>
      </c>
    </row>
    <row r="12" spans="1:23" x14ac:dyDescent="0.25">
      <c r="A12" t="s">
        <v>223</v>
      </c>
      <c r="B12" t="s">
        <v>18</v>
      </c>
      <c r="C12" t="s">
        <v>209</v>
      </c>
      <c r="D12" t="s">
        <v>210</v>
      </c>
      <c r="E12" t="s">
        <v>211</v>
      </c>
      <c r="F12" t="s">
        <v>212</v>
      </c>
      <c r="G12" t="s">
        <v>212</v>
      </c>
      <c r="H12" t="s">
        <v>212</v>
      </c>
      <c r="I12" t="s">
        <v>212</v>
      </c>
      <c r="J12" t="s">
        <v>212</v>
      </c>
      <c r="K12" t="s">
        <v>211</v>
      </c>
      <c r="L12" t="s">
        <v>211</v>
      </c>
      <c r="M12">
        <v>1</v>
      </c>
      <c r="N12">
        <v>1</v>
      </c>
      <c r="O12">
        <v>1</v>
      </c>
      <c r="P12">
        <v>1</v>
      </c>
      <c r="Q12">
        <v>1</v>
      </c>
      <c r="R12">
        <v>7</v>
      </c>
      <c r="S12">
        <v>6</v>
      </c>
      <c r="T12">
        <v>5</v>
      </c>
      <c r="U12">
        <v>1</v>
      </c>
      <c r="V12">
        <v>1</v>
      </c>
      <c r="W12">
        <v>1</v>
      </c>
    </row>
    <row r="13" spans="1:23" x14ac:dyDescent="0.25">
      <c r="A13" t="s">
        <v>224</v>
      </c>
      <c r="B13" t="s">
        <v>19</v>
      </c>
      <c r="C13" t="s">
        <v>209</v>
      </c>
      <c r="D13" t="s">
        <v>210</v>
      </c>
      <c r="E13" t="s">
        <v>211</v>
      </c>
      <c r="F13" t="s">
        <v>212</v>
      </c>
      <c r="G13" t="s">
        <v>212</v>
      </c>
      <c r="H13" t="s">
        <v>212</v>
      </c>
      <c r="I13" t="s">
        <v>212</v>
      </c>
      <c r="J13" t="s">
        <v>212</v>
      </c>
      <c r="K13" t="s">
        <v>211</v>
      </c>
      <c r="L13" t="s">
        <v>211</v>
      </c>
      <c r="M13">
        <v>1</v>
      </c>
      <c r="N13">
        <v>1</v>
      </c>
      <c r="O13">
        <v>1</v>
      </c>
      <c r="P13">
        <v>1</v>
      </c>
      <c r="Q13">
        <v>1</v>
      </c>
      <c r="R13">
        <v>5</v>
      </c>
      <c r="S13">
        <v>6</v>
      </c>
      <c r="T13">
        <v>4</v>
      </c>
      <c r="U13">
        <v>2</v>
      </c>
      <c r="V13">
        <v>1</v>
      </c>
      <c r="W13">
        <v>1</v>
      </c>
    </row>
    <row r="14" spans="1:23" x14ac:dyDescent="0.25">
      <c r="A14" t="s">
        <v>225</v>
      </c>
      <c r="B14" t="s">
        <v>39</v>
      </c>
      <c r="C14" t="s">
        <v>209</v>
      </c>
      <c r="D14" t="s">
        <v>226</v>
      </c>
      <c r="E14" t="s">
        <v>227</v>
      </c>
      <c r="F14" t="s">
        <v>211</v>
      </c>
      <c r="G14" t="s">
        <v>211</v>
      </c>
      <c r="H14" t="s">
        <v>211</v>
      </c>
      <c r="I14" t="s">
        <v>211</v>
      </c>
      <c r="J14" t="s">
        <v>211</v>
      </c>
      <c r="K14" t="s">
        <v>212</v>
      </c>
      <c r="L14" t="s">
        <v>212</v>
      </c>
      <c r="M14">
        <v>1</v>
      </c>
      <c r="N14">
        <v>1</v>
      </c>
      <c r="O14">
        <v>1</v>
      </c>
      <c r="P14">
        <v>1</v>
      </c>
      <c r="Q14">
        <v>1</v>
      </c>
      <c r="R14">
        <v>0</v>
      </c>
      <c r="S14">
        <v>0</v>
      </c>
      <c r="T14">
        <v>0</v>
      </c>
      <c r="U14">
        <v>0</v>
      </c>
      <c r="V14">
        <v>0</v>
      </c>
      <c r="W14">
        <v>0</v>
      </c>
    </row>
    <row r="15" spans="1:23" x14ac:dyDescent="0.25">
      <c r="A15" t="s">
        <v>228</v>
      </c>
      <c r="B15" t="s">
        <v>40</v>
      </c>
      <c r="C15" t="s">
        <v>209</v>
      </c>
      <c r="D15" t="s">
        <v>226</v>
      </c>
      <c r="E15" t="s">
        <v>227</v>
      </c>
      <c r="F15" t="s">
        <v>211</v>
      </c>
      <c r="G15" t="s">
        <v>211</v>
      </c>
      <c r="H15" t="s">
        <v>211</v>
      </c>
      <c r="I15" t="s">
        <v>211</v>
      </c>
      <c r="J15" t="s">
        <v>211</v>
      </c>
      <c r="K15" t="s">
        <v>212</v>
      </c>
      <c r="L15" t="s">
        <v>212</v>
      </c>
      <c r="M15">
        <v>1</v>
      </c>
      <c r="N15">
        <v>1</v>
      </c>
      <c r="O15">
        <v>1</v>
      </c>
      <c r="P15">
        <v>1</v>
      </c>
      <c r="Q15">
        <v>0</v>
      </c>
      <c r="R15">
        <v>0</v>
      </c>
      <c r="S15">
        <v>0</v>
      </c>
      <c r="T15">
        <v>0</v>
      </c>
      <c r="U15">
        <v>0</v>
      </c>
      <c r="V15">
        <v>0</v>
      </c>
      <c r="W15">
        <v>0</v>
      </c>
    </row>
    <row r="16" spans="1:23" x14ac:dyDescent="0.25">
      <c r="A16" t="s">
        <v>229</v>
      </c>
      <c r="B16" t="s">
        <v>230</v>
      </c>
      <c r="C16" t="s">
        <v>209</v>
      </c>
      <c r="D16" t="s">
        <v>226</v>
      </c>
      <c r="E16" t="s">
        <v>227</v>
      </c>
      <c r="F16" t="s">
        <v>211</v>
      </c>
      <c r="G16" t="s">
        <v>211</v>
      </c>
      <c r="H16" t="s">
        <v>211</v>
      </c>
      <c r="I16" t="s">
        <v>211</v>
      </c>
      <c r="J16" t="s">
        <v>211</v>
      </c>
      <c r="K16" t="s">
        <v>212</v>
      </c>
      <c r="L16" t="s">
        <v>212</v>
      </c>
      <c r="M16">
        <v>1</v>
      </c>
      <c r="N16">
        <v>1</v>
      </c>
      <c r="O16">
        <v>1</v>
      </c>
      <c r="P16">
        <v>1</v>
      </c>
      <c r="Q16">
        <v>0</v>
      </c>
      <c r="R16">
        <v>0</v>
      </c>
      <c r="S16">
        <v>0</v>
      </c>
      <c r="T16">
        <v>0</v>
      </c>
      <c r="U16">
        <v>0</v>
      </c>
      <c r="V16">
        <v>0</v>
      </c>
      <c r="W16">
        <v>0</v>
      </c>
    </row>
    <row r="17" spans="1:23" x14ac:dyDescent="0.25">
      <c r="A17" t="s">
        <v>231</v>
      </c>
      <c r="B17" t="s">
        <v>41</v>
      </c>
      <c r="C17" t="s">
        <v>209</v>
      </c>
      <c r="D17" t="s">
        <v>226</v>
      </c>
      <c r="E17" t="s">
        <v>227</v>
      </c>
      <c r="F17" t="s">
        <v>211</v>
      </c>
      <c r="G17" t="s">
        <v>211</v>
      </c>
      <c r="H17" t="s">
        <v>211</v>
      </c>
      <c r="I17" t="s">
        <v>211</v>
      </c>
      <c r="J17" t="s">
        <v>211</v>
      </c>
      <c r="K17" t="s">
        <v>212</v>
      </c>
      <c r="L17" t="s">
        <v>212</v>
      </c>
      <c r="M17">
        <v>1</v>
      </c>
      <c r="N17">
        <v>1</v>
      </c>
      <c r="O17">
        <v>1</v>
      </c>
      <c r="P17">
        <v>0</v>
      </c>
      <c r="Q17">
        <v>0</v>
      </c>
      <c r="R17">
        <v>0</v>
      </c>
      <c r="S17">
        <v>0</v>
      </c>
      <c r="T17">
        <v>0</v>
      </c>
      <c r="U17">
        <v>0</v>
      </c>
      <c r="V17">
        <v>0</v>
      </c>
      <c r="W17">
        <v>0</v>
      </c>
    </row>
    <row r="18" spans="1:23" x14ac:dyDescent="0.25">
      <c r="A18" t="s">
        <v>232</v>
      </c>
      <c r="B18" t="s">
        <v>42</v>
      </c>
      <c r="C18" t="s">
        <v>209</v>
      </c>
      <c r="D18" t="s">
        <v>226</v>
      </c>
      <c r="E18" t="s">
        <v>227</v>
      </c>
      <c r="F18" t="s">
        <v>211</v>
      </c>
      <c r="G18" t="s">
        <v>211</v>
      </c>
      <c r="H18" t="s">
        <v>211</v>
      </c>
      <c r="I18" t="s">
        <v>211</v>
      </c>
      <c r="J18" t="s">
        <v>211</v>
      </c>
      <c r="K18" t="s">
        <v>212</v>
      </c>
      <c r="L18" t="s">
        <v>212</v>
      </c>
      <c r="M18">
        <v>1</v>
      </c>
      <c r="N18">
        <v>1</v>
      </c>
      <c r="O18">
        <v>1</v>
      </c>
      <c r="P18">
        <v>1</v>
      </c>
      <c r="Q18">
        <v>0</v>
      </c>
      <c r="R18">
        <v>0</v>
      </c>
      <c r="S18">
        <v>0</v>
      </c>
      <c r="T18">
        <v>0</v>
      </c>
      <c r="U18">
        <v>0</v>
      </c>
      <c r="V18">
        <v>0</v>
      </c>
      <c r="W18">
        <v>0</v>
      </c>
    </row>
    <row r="19" spans="1:23" x14ac:dyDescent="0.25">
      <c r="A19" t="s">
        <v>233</v>
      </c>
      <c r="B19" t="s">
        <v>43</v>
      </c>
      <c r="C19" t="s">
        <v>209</v>
      </c>
      <c r="D19" t="s">
        <v>226</v>
      </c>
      <c r="E19" t="s">
        <v>227</v>
      </c>
      <c r="F19" t="s">
        <v>211</v>
      </c>
      <c r="G19" t="s">
        <v>211</v>
      </c>
      <c r="H19" t="s">
        <v>211</v>
      </c>
      <c r="I19" t="s">
        <v>211</v>
      </c>
      <c r="J19" t="s">
        <v>211</v>
      </c>
      <c r="K19" t="s">
        <v>212</v>
      </c>
      <c r="L19" t="s">
        <v>212</v>
      </c>
      <c r="M19">
        <v>1</v>
      </c>
      <c r="N19">
        <v>1</v>
      </c>
      <c r="O19">
        <v>1</v>
      </c>
      <c r="P19">
        <v>1</v>
      </c>
      <c r="Q19">
        <v>0</v>
      </c>
      <c r="R19">
        <v>0</v>
      </c>
      <c r="S19">
        <v>0</v>
      </c>
      <c r="T19">
        <v>0</v>
      </c>
      <c r="U19">
        <v>0</v>
      </c>
      <c r="V19">
        <v>0</v>
      </c>
      <c r="W19">
        <v>0</v>
      </c>
    </row>
    <row r="20" spans="1:23" hidden="1" x14ac:dyDescent="0.25">
      <c r="A20" t="s">
        <v>234</v>
      </c>
      <c r="B20" t="s">
        <v>44</v>
      </c>
      <c r="C20" t="s">
        <v>273</v>
      </c>
      <c r="D20" t="s">
        <v>226</v>
      </c>
      <c r="E20" t="s">
        <v>227</v>
      </c>
      <c r="F20" t="s">
        <v>211</v>
      </c>
      <c r="G20" t="s">
        <v>211</v>
      </c>
      <c r="H20" t="s">
        <v>211</v>
      </c>
      <c r="I20" t="s">
        <v>211</v>
      </c>
      <c r="J20" t="s">
        <v>211</v>
      </c>
      <c r="K20" t="s">
        <v>212</v>
      </c>
      <c r="L20" t="s">
        <v>212</v>
      </c>
      <c r="M20">
        <v>1</v>
      </c>
      <c r="N20">
        <v>1</v>
      </c>
      <c r="O20">
        <v>1</v>
      </c>
      <c r="P20">
        <v>1</v>
      </c>
      <c r="Q20">
        <v>1</v>
      </c>
      <c r="R20">
        <v>0</v>
      </c>
      <c r="S20">
        <v>0</v>
      </c>
      <c r="T20">
        <v>0</v>
      </c>
      <c r="U20">
        <v>0</v>
      </c>
      <c r="V20">
        <v>0</v>
      </c>
      <c r="W20">
        <v>0</v>
      </c>
    </row>
    <row r="21" spans="1:23" x14ac:dyDescent="0.25">
      <c r="A21" t="s">
        <v>235</v>
      </c>
      <c r="B21" t="s">
        <v>45</v>
      </c>
      <c r="C21" t="s">
        <v>209</v>
      </c>
      <c r="D21" t="s">
        <v>226</v>
      </c>
      <c r="E21" t="s">
        <v>227</v>
      </c>
      <c r="F21" t="s">
        <v>211</v>
      </c>
      <c r="G21" t="s">
        <v>211</v>
      </c>
      <c r="H21" t="s">
        <v>211</v>
      </c>
      <c r="I21" t="s">
        <v>211</v>
      </c>
      <c r="J21" t="s">
        <v>211</v>
      </c>
      <c r="K21" t="s">
        <v>212</v>
      </c>
      <c r="L21" t="s">
        <v>212</v>
      </c>
      <c r="M21">
        <v>1</v>
      </c>
      <c r="N21">
        <v>1</v>
      </c>
      <c r="O21">
        <v>1</v>
      </c>
      <c r="P21">
        <v>1</v>
      </c>
      <c r="Q21">
        <v>0</v>
      </c>
      <c r="R21">
        <v>0</v>
      </c>
      <c r="S21">
        <v>0</v>
      </c>
      <c r="T21">
        <v>0</v>
      </c>
      <c r="U21">
        <v>0</v>
      </c>
      <c r="V21">
        <v>0</v>
      </c>
      <c r="W21">
        <v>0</v>
      </c>
    </row>
    <row r="22" spans="1:23" x14ac:dyDescent="0.25">
      <c r="A22" t="s">
        <v>236</v>
      </c>
      <c r="B22" t="s">
        <v>237</v>
      </c>
      <c r="C22" t="s">
        <v>209</v>
      </c>
      <c r="D22" t="s">
        <v>226</v>
      </c>
      <c r="E22" t="s">
        <v>227</v>
      </c>
      <c r="F22" t="s">
        <v>211</v>
      </c>
      <c r="G22" t="s">
        <v>211</v>
      </c>
      <c r="H22" t="s">
        <v>211</v>
      </c>
      <c r="I22" t="s">
        <v>211</v>
      </c>
      <c r="J22" t="s">
        <v>211</v>
      </c>
      <c r="K22" t="s">
        <v>212</v>
      </c>
      <c r="L22" t="s">
        <v>212</v>
      </c>
      <c r="M22">
        <v>1</v>
      </c>
      <c r="N22">
        <v>1</v>
      </c>
      <c r="O22">
        <v>1</v>
      </c>
      <c r="P22">
        <v>1</v>
      </c>
      <c r="Q22">
        <v>0</v>
      </c>
      <c r="R22">
        <v>0</v>
      </c>
      <c r="S22">
        <v>0</v>
      </c>
      <c r="T22">
        <v>0</v>
      </c>
      <c r="U22">
        <v>0</v>
      </c>
      <c r="V22">
        <v>0</v>
      </c>
      <c r="W22">
        <v>0</v>
      </c>
    </row>
    <row r="23" spans="1:23" x14ac:dyDescent="0.25">
      <c r="A23" t="s">
        <v>238</v>
      </c>
      <c r="B23" t="s">
        <v>46</v>
      </c>
      <c r="C23" t="s">
        <v>209</v>
      </c>
      <c r="D23" t="s">
        <v>226</v>
      </c>
      <c r="E23" t="s">
        <v>227</v>
      </c>
      <c r="F23" t="s">
        <v>211</v>
      </c>
      <c r="G23" t="s">
        <v>211</v>
      </c>
      <c r="H23" t="s">
        <v>211</v>
      </c>
      <c r="I23" t="s">
        <v>211</v>
      </c>
      <c r="J23" t="s">
        <v>211</v>
      </c>
      <c r="K23" t="s">
        <v>212</v>
      </c>
      <c r="L23" t="s">
        <v>212</v>
      </c>
      <c r="M23">
        <v>1</v>
      </c>
      <c r="N23">
        <v>1</v>
      </c>
      <c r="O23">
        <v>1</v>
      </c>
      <c r="P23">
        <v>1</v>
      </c>
      <c r="Q23">
        <v>0</v>
      </c>
      <c r="R23">
        <v>0</v>
      </c>
      <c r="S23">
        <v>0</v>
      </c>
      <c r="T23">
        <v>0</v>
      </c>
      <c r="U23">
        <v>0</v>
      </c>
      <c r="V23">
        <v>0</v>
      </c>
      <c r="W23">
        <v>0</v>
      </c>
    </row>
    <row r="24" spans="1:23" x14ac:dyDescent="0.25">
      <c r="A24" t="s">
        <v>239</v>
      </c>
      <c r="B24" t="s">
        <v>240</v>
      </c>
      <c r="C24" t="s">
        <v>209</v>
      </c>
      <c r="D24" t="s">
        <v>226</v>
      </c>
      <c r="E24" t="s">
        <v>227</v>
      </c>
      <c r="F24" t="s">
        <v>211</v>
      </c>
      <c r="G24" t="s">
        <v>211</v>
      </c>
      <c r="H24" t="s">
        <v>211</v>
      </c>
      <c r="I24" t="s">
        <v>211</v>
      </c>
      <c r="J24" t="s">
        <v>211</v>
      </c>
      <c r="K24" t="s">
        <v>212</v>
      </c>
      <c r="L24" t="s">
        <v>212</v>
      </c>
      <c r="M24">
        <v>1</v>
      </c>
      <c r="N24">
        <v>1</v>
      </c>
      <c r="O24">
        <v>1</v>
      </c>
      <c r="P24">
        <v>1</v>
      </c>
      <c r="Q24">
        <v>0</v>
      </c>
      <c r="R24">
        <v>0</v>
      </c>
      <c r="S24">
        <v>0</v>
      </c>
      <c r="T24">
        <v>0</v>
      </c>
      <c r="U24">
        <v>0</v>
      </c>
      <c r="V24">
        <v>0</v>
      </c>
      <c r="W24">
        <v>0</v>
      </c>
    </row>
    <row r="25" spans="1:23" x14ac:dyDescent="0.25">
      <c r="A25" t="s">
        <v>241</v>
      </c>
      <c r="B25" t="s">
        <v>242</v>
      </c>
      <c r="C25" t="s">
        <v>209</v>
      </c>
      <c r="D25" t="s">
        <v>226</v>
      </c>
      <c r="E25" t="s">
        <v>227</v>
      </c>
      <c r="F25" t="s">
        <v>211</v>
      </c>
      <c r="G25" t="s">
        <v>211</v>
      </c>
      <c r="H25" t="s">
        <v>211</v>
      </c>
      <c r="I25" t="s">
        <v>211</v>
      </c>
      <c r="J25" t="s">
        <v>211</v>
      </c>
      <c r="K25" t="s">
        <v>212</v>
      </c>
      <c r="L25" t="s">
        <v>212</v>
      </c>
      <c r="M25">
        <v>1</v>
      </c>
      <c r="N25">
        <v>1</v>
      </c>
      <c r="O25">
        <v>1</v>
      </c>
      <c r="P25">
        <v>0</v>
      </c>
      <c r="Q25">
        <v>0</v>
      </c>
      <c r="R25">
        <v>0</v>
      </c>
      <c r="S25">
        <v>0</v>
      </c>
      <c r="T25">
        <v>0</v>
      </c>
      <c r="U25">
        <v>0</v>
      </c>
      <c r="V25">
        <v>0</v>
      </c>
      <c r="W25">
        <v>0</v>
      </c>
    </row>
    <row r="26" spans="1:23" x14ac:dyDescent="0.25">
      <c r="A26" t="s">
        <v>243</v>
      </c>
      <c r="B26" t="s">
        <v>47</v>
      </c>
      <c r="C26" t="s">
        <v>209</v>
      </c>
      <c r="D26" t="s">
        <v>226</v>
      </c>
      <c r="E26" t="s">
        <v>244</v>
      </c>
      <c r="F26" t="s">
        <v>211</v>
      </c>
      <c r="G26" t="s">
        <v>211</v>
      </c>
      <c r="H26" t="s">
        <v>211</v>
      </c>
      <c r="I26" t="s">
        <v>211</v>
      </c>
      <c r="J26" t="s">
        <v>211</v>
      </c>
      <c r="K26" t="s">
        <v>212</v>
      </c>
      <c r="L26" t="s">
        <v>212</v>
      </c>
      <c r="M26">
        <v>1</v>
      </c>
      <c r="N26">
        <v>1</v>
      </c>
      <c r="O26">
        <v>1</v>
      </c>
      <c r="P26">
        <v>1</v>
      </c>
      <c r="Q26">
        <v>1</v>
      </c>
      <c r="R26">
        <v>0</v>
      </c>
      <c r="S26">
        <v>0</v>
      </c>
      <c r="T26">
        <v>0</v>
      </c>
      <c r="U26">
        <v>0</v>
      </c>
      <c r="V26">
        <v>0</v>
      </c>
      <c r="W26">
        <v>0</v>
      </c>
    </row>
    <row r="27" spans="1:23" x14ac:dyDescent="0.25">
      <c r="A27" t="s">
        <v>245</v>
      </c>
      <c r="B27" t="s">
        <v>48</v>
      </c>
      <c r="C27" t="s">
        <v>209</v>
      </c>
      <c r="D27" t="s">
        <v>226</v>
      </c>
      <c r="E27" t="s">
        <v>244</v>
      </c>
      <c r="F27" t="s">
        <v>211</v>
      </c>
      <c r="G27" t="s">
        <v>211</v>
      </c>
      <c r="H27" t="s">
        <v>211</v>
      </c>
      <c r="I27" t="s">
        <v>211</v>
      </c>
      <c r="J27" t="s">
        <v>211</v>
      </c>
      <c r="K27" t="s">
        <v>212</v>
      </c>
      <c r="L27" t="s">
        <v>212</v>
      </c>
      <c r="M27">
        <v>1</v>
      </c>
      <c r="N27">
        <v>1</v>
      </c>
      <c r="O27">
        <v>1</v>
      </c>
      <c r="P27">
        <v>1</v>
      </c>
      <c r="Q27">
        <v>0</v>
      </c>
      <c r="R27">
        <v>0</v>
      </c>
      <c r="S27">
        <v>0</v>
      </c>
      <c r="T27">
        <v>0</v>
      </c>
      <c r="U27">
        <v>0</v>
      </c>
      <c r="V27">
        <v>0</v>
      </c>
      <c r="W27">
        <v>0</v>
      </c>
    </row>
    <row r="28" spans="1:23" x14ac:dyDescent="0.25">
      <c r="A28" t="s">
        <v>246</v>
      </c>
      <c r="B28" t="s">
        <v>49</v>
      </c>
      <c r="C28" t="s">
        <v>209</v>
      </c>
      <c r="D28" t="s">
        <v>226</v>
      </c>
      <c r="E28" t="s">
        <v>244</v>
      </c>
      <c r="F28" t="s">
        <v>211</v>
      </c>
      <c r="G28" t="s">
        <v>211</v>
      </c>
      <c r="H28" t="s">
        <v>211</v>
      </c>
      <c r="I28" t="s">
        <v>211</v>
      </c>
      <c r="J28" t="s">
        <v>211</v>
      </c>
      <c r="K28" t="s">
        <v>212</v>
      </c>
      <c r="L28" t="s">
        <v>212</v>
      </c>
      <c r="M28">
        <v>1</v>
      </c>
      <c r="N28">
        <v>1</v>
      </c>
      <c r="O28">
        <v>1</v>
      </c>
      <c r="P28">
        <v>1</v>
      </c>
      <c r="Q28">
        <v>0</v>
      </c>
      <c r="R28">
        <v>0</v>
      </c>
      <c r="S28">
        <v>0</v>
      </c>
      <c r="T28">
        <v>0</v>
      </c>
      <c r="U28">
        <v>0</v>
      </c>
      <c r="V28">
        <v>0</v>
      </c>
      <c r="W28">
        <v>0</v>
      </c>
    </row>
    <row r="29" spans="1:23" x14ac:dyDescent="0.25">
      <c r="A29" t="s">
        <v>247</v>
      </c>
      <c r="B29" t="s">
        <v>50</v>
      </c>
      <c r="C29" t="s">
        <v>209</v>
      </c>
      <c r="D29" t="s">
        <v>226</v>
      </c>
      <c r="E29" t="s">
        <v>244</v>
      </c>
      <c r="F29" t="s">
        <v>211</v>
      </c>
      <c r="G29" t="s">
        <v>211</v>
      </c>
      <c r="H29" t="s">
        <v>211</v>
      </c>
      <c r="I29" t="s">
        <v>211</v>
      </c>
      <c r="J29" t="s">
        <v>211</v>
      </c>
      <c r="K29" t="s">
        <v>212</v>
      </c>
      <c r="L29" t="s">
        <v>212</v>
      </c>
      <c r="M29">
        <v>1</v>
      </c>
      <c r="N29">
        <v>1</v>
      </c>
      <c r="O29">
        <v>1</v>
      </c>
      <c r="P29">
        <v>1</v>
      </c>
      <c r="Q29">
        <v>0</v>
      </c>
      <c r="R29">
        <v>0</v>
      </c>
      <c r="S29">
        <v>0</v>
      </c>
      <c r="T29">
        <v>0</v>
      </c>
      <c r="U29">
        <v>0</v>
      </c>
      <c r="V29">
        <v>0</v>
      </c>
      <c r="W29">
        <v>0</v>
      </c>
    </row>
    <row r="30" spans="1:23" hidden="1" x14ac:dyDescent="0.25">
      <c r="A30" t="s">
        <v>248</v>
      </c>
      <c r="B30" t="s">
        <v>51</v>
      </c>
      <c r="C30" t="s">
        <v>209</v>
      </c>
      <c r="D30" t="s">
        <v>226</v>
      </c>
      <c r="E30" t="s">
        <v>244</v>
      </c>
      <c r="F30" t="s">
        <v>211</v>
      </c>
      <c r="G30" t="s">
        <v>211</v>
      </c>
      <c r="H30" t="s">
        <v>211</v>
      </c>
      <c r="I30" t="s">
        <v>211</v>
      </c>
      <c r="J30" t="s">
        <v>211</v>
      </c>
      <c r="K30" t="s">
        <v>212</v>
      </c>
      <c r="L30" t="s">
        <v>212</v>
      </c>
      <c r="M30">
        <v>1</v>
      </c>
      <c r="N30">
        <v>1</v>
      </c>
      <c r="O30">
        <v>1</v>
      </c>
      <c r="P30">
        <v>1</v>
      </c>
      <c r="Q30">
        <v>1</v>
      </c>
      <c r="R30">
        <v>0</v>
      </c>
      <c r="S30">
        <v>0</v>
      </c>
      <c r="T30">
        <v>0</v>
      </c>
      <c r="U30">
        <v>0</v>
      </c>
      <c r="V30">
        <v>0</v>
      </c>
      <c r="W30">
        <v>0</v>
      </c>
    </row>
    <row r="31" spans="1:23" x14ac:dyDescent="0.25">
      <c r="A31" t="s">
        <v>249</v>
      </c>
      <c r="B31" t="s">
        <v>52</v>
      </c>
      <c r="C31" t="s">
        <v>209</v>
      </c>
      <c r="D31" t="s">
        <v>226</v>
      </c>
      <c r="E31" t="s">
        <v>244</v>
      </c>
      <c r="F31" t="s">
        <v>211</v>
      </c>
      <c r="G31" t="s">
        <v>211</v>
      </c>
      <c r="H31" t="s">
        <v>211</v>
      </c>
      <c r="I31" t="s">
        <v>211</v>
      </c>
      <c r="J31" t="s">
        <v>211</v>
      </c>
      <c r="K31" t="s">
        <v>212</v>
      </c>
      <c r="L31" t="s">
        <v>212</v>
      </c>
      <c r="M31">
        <v>1</v>
      </c>
      <c r="N31">
        <v>1</v>
      </c>
      <c r="O31">
        <v>1</v>
      </c>
      <c r="P31">
        <v>1</v>
      </c>
      <c r="Q31">
        <v>0</v>
      </c>
      <c r="R31">
        <v>0</v>
      </c>
      <c r="S31">
        <v>0</v>
      </c>
      <c r="T31">
        <v>0</v>
      </c>
      <c r="U31">
        <v>0</v>
      </c>
      <c r="V31">
        <v>0</v>
      </c>
      <c r="W31">
        <v>0</v>
      </c>
    </row>
    <row r="32" spans="1:23" hidden="1" x14ac:dyDescent="0.25">
      <c r="A32" t="s">
        <v>250</v>
      </c>
      <c r="B32" t="s">
        <v>53</v>
      </c>
      <c r="C32" t="s">
        <v>273</v>
      </c>
      <c r="D32" t="s">
        <v>226</v>
      </c>
      <c r="E32" t="s">
        <v>244</v>
      </c>
      <c r="F32" t="s">
        <v>211</v>
      </c>
      <c r="G32" t="s">
        <v>211</v>
      </c>
      <c r="H32" t="s">
        <v>211</v>
      </c>
      <c r="I32" t="s">
        <v>211</v>
      </c>
      <c r="J32" t="s">
        <v>211</v>
      </c>
      <c r="K32" t="s">
        <v>212</v>
      </c>
      <c r="L32" t="s">
        <v>212</v>
      </c>
      <c r="M32">
        <v>1</v>
      </c>
      <c r="N32">
        <v>1</v>
      </c>
      <c r="O32">
        <v>1</v>
      </c>
      <c r="P32">
        <v>1</v>
      </c>
      <c r="Q32">
        <v>1</v>
      </c>
      <c r="R32">
        <v>0</v>
      </c>
      <c r="S32">
        <v>0</v>
      </c>
      <c r="T32">
        <v>0</v>
      </c>
      <c r="U32">
        <v>0</v>
      </c>
      <c r="V32">
        <v>0</v>
      </c>
      <c r="W32">
        <v>0</v>
      </c>
    </row>
    <row r="33" spans="1:23" x14ac:dyDescent="0.25">
      <c r="A33" t="s">
        <v>251</v>
      </c>
      <c r="B33" t="s">
        <v>54</v>
      </c>
      <c r="C33" t="s">
        <v>209</v>
      </c>
      <c r="D33" t="s">
        <v>226</v>
      </c>
      <c r="E33" t="s">
        <v>244</v>
      </c>
      <c r="F33" t="s">
        <v>211</v>
      </c>
      <c r="G33" t="s">
        <v>211</v>
      </c>
      <c r="H33" t="s">
        <v>211</v>
      </c>
      <c r="I33" t="s">
        <v>211</v>
      </c>
      <c r="J33" t="s">
        <v>211</v>
      </c>
      <c r="K33" t="s">
        <v>212</v>
      </c>
      <c r="L33" t="s">
        <v>212</v>
      </c>
      <c r="M33">
        <v>1</v>
      </c>
      <c r="N33">
        <v>1</v>
      </c>
      <c r="O33">
        <v>1</v>
      </c>
      <c r="P33">
        <v>1</v>
      </c>
      <c r="Q33">
        <v>0</v>
      </c>
      <c r="R33">
        <v>0</v>
      </c>
      <c r="S33">
        <v>0</v>
      </c>
      <c r="T33">
        <v>0</v>
      </c>
      <c r="U33">
        <v>0</v>
      </c>
      <c r="V33">
        <v>0</v>
      </c>
      <c r="W33">
        <v>0</v>
      </c>
    </row>
    <row r="34" spans="1:23" x14ac:dyDescent="0.25">
      <c r="A34" t="s">
        <v>252</v>
      </c>
      <c r="B34" t="s">
        <v>55</v>
      </c>
      <c r="C34" t="s">
        <v>209</v>
      </c>
      <c r="D34" t="s">
        <v>226</v>
      </c>
      <c r="E34" t="s">
        <v>244</v>
      </c>
      <c r="F34" t="s">
        <v>211</v>
      </c>
      <c r="G34" t="s">
        <v>211</v>
      </c>
      <c r="H34" t="s">
        <v>211</v>
      </c>
      <c r="I34" t="s">
        <v>211</v>
      </c>
      <c r="J34" t="s">
        <v>211</v>
      </c>
      <c r="K34" t="s">
        <v>212</v>
      </c>
      <c r="L34" t="s">
        <v>212</v>
      </c>
      <c r="M34">
        <v>1</v>
      </c>
      <c r="N34">
        <v>1</v>
      </c>
      <c r="O34">
        <v>1</v>
      </c>
      <c r="P34">
        <v>1</v>
      </c>
      <c r="Q34">
        <v>0</v>
      </c>
      <c r="R34">
        <v>0</v>
      </c>
      <c r="S34">
        <v>0</v>
      </c>
      <c r="T34">
        <v>0</v>
      </c>
      <c r="U34">
        <v>0</v>
      </c>
      <c r="V34">
        <v>0</v>
      </c>
      <c r="W34">
        <v>0</v>
      </c>
    </row>
    <row r="35" spans="1:23" x14ac:dyDescent="0.25">
      <c r="A35" t="s">
        <v>253</v>
      </c>
      <c r="B35" t="s">
        <v>56</v>
      </c>
      <c r="C35" t="s">
        <v>209</v>
      </c>
      <c r="D35" t="s">
        <v>226</v>
      </c>
      <c r="E35" t="s">
        <v>244</v>
      </c>
      <c r="F35" t="s">
        <v>211</v>
      </c>
      <c r="G35" t="s">
        <v>211</v>
      </c>
      <c r="H35" t="s">
        <v>211</v>
      </c>
      <c r="I35" t="s">
        <v>211</v>
      </c>
      <c r="J35" t="s">
        <v>211</v>
      </c>
      <c r="K35" t="s">
        <v>212</v>
      </c>
      <c r="L35" t="s">
        <v>212</v>
      </c>
      <c r="M35">
        <v>1</v>
      </c>
      <c r="N35">
        <v>1</v>
      </c>
      <c r="O35">
        <v>1</v>
      </c>
      <c r="P35">
        <v>0</v>
      </c>
      <c r="Q35">
        <v>0</v>
      </c>
      <c r="R35">
        <v>0</v>
      </c>
      <c r="S35">
        <v>0</v>
      </c>
      <c r="T35">
        <v>0</v>
      </c>
      <c r="U35">
        <v>0</v>
      </c>
      <c r="V35">
        <v>0</v>
      </c>
      <c r="W35">
        <v>0</v>
      </c>
    </row>
    <row r="36" spans="1:23" x14ac:dyDescent="0.25">
      <c r="A36" t="s">
        <v>254</v>
      </c>
      <c r="B36" t="s">
        <v>255</v>
      </c>
      <c r="C36" t="s">
        <v>209</v>
      </c>
      <c r="D36" t="s">
        <v>226</v>
      </c>
      <c r="E36" t="s">
        <v>244</v>
      </c>
      <c r="F36" t="s">
        <v>211</v>
      </c>
      <c r="G36" t="s">
        <v>211</v>
      </c>
      <c r="H36" t="s">
        <v>211</v>
      </c>
      <c r="I36" t="s">
        <v>211</v>
      </c>
      <c r="J36" t="s">
        <v>211</v>
      </c>
      <c r="K36" t="s">
        <v>212</v>
      </c>
      <c r="L36" t="s">
        <v>212</v>
      </c>
      <c r="M36">
        <v>1</v>
      </c>
      <c r="N36">
        <v>1</v>
      </c>
      <c r="O36">
        <v>1</v>
      </c>
      <c r="P36">
        <v>1</v>
      </c>
      <c r="Q36">
        <v>0</v>
      </c>
      <c r="R36">
        <v>0</v>
      </c>
      <c r="S36">
        <v>0</v>
      </c>
      <c r="T36">
        <v>0</v>
      </c>
      <c r="U36">
        <v>0</v>
      </c>
      <c r="V36">
        <v>0</v>
      </c>
      <c r="W36">
        <v>0</v>
      </c>
    </row>
    <row r="37" spans="1:23" x14ac:dyDescent="0.25">
      <c r="A37" t="s">
        <v>271</v>
      </c>
      <c r="B37" t="s">
        <v>272</v>
      </c>
      <c r="C37" t="s">
        <v>209</v>
      </c>
      <c r="D37" t="s">
        <v>226</v>
      </c>
      <c r="E37" t="s">
        <v>244</v>
      </c>
      <c r="F37" t="s">
        <v>211</v>
      </c>
      <c r="G37" t="s">
        <v>211</v>
      </c>
      <c r="H37" t="s">
        <v>211</v>
      </c>
      <c r="I37" t="s">
        <v>211</v>
      </c>
      <c r="J37" t="s">
        <v>211</v>
      </c>
      <c r="K37" t="s">
        <v>212</v>
      </c>
      <c r="L37" t="s">
        <v>212</v>
      </c>
      <c r="M37">
        <v>0</v>
      </c>
      <c r="N37">
        <v>1</v>
      </c>
      <c r="O37">
        <v>0</v>
      </c>
      <c r="P37">
        <v>0</v>
      </c>
      <c r="Q37">
        <v>0</v>
      </c>
      <c r="R37">
        <v>0</v>
      </c>
      <c r="S37">
        <v>0</v>
      </c>
      <c r="T37">
        <v>0</v>
      </c>
      <c r="U37">
        <v>0</v>
      </c>
      <c r="V37">
        <v>0</v>
      </c>
      <c r="W37">
        <v>0</v>
      </c>
    </row>
    <row r="38" spans="1:23" x14ac:dyDescent="0.25">
      <c r="A38" t="s">
        <v>358</v>
      </c>
      <c r="B38" t="s">
        <v>359</v>
      </c>
      <c r="C38" t="s">
        <v>209</v>
      </c>
      <c r="D38" t="s">
        <v>210</v>
      </c>
      <c r="E38" t="s">
        <v>211</v>
      </c>
      <c r="F38" t="s">
        <v>211</v>
      </c>
      <c r="G38" t="s">
        <v>212</v>
      </c>
      <c r="H38" t="s">
        <v>212</v>
      </c>
      <c r="I38" t="s">
        <v>212</v>
      </c>
      <c r="J38" t="s">
        <v>214</v>
      </c>
      <c r="K38" t="s">
        <v>211</v>
      </c>
      <c r="L38" t="s">
        <v>211</v>
      </c>
      <c r="M38">
        <v>0</v>
      </c>
      <c r="N38">
        <v>0</v>
      </c>
      <c r="O38">
        <v>0</v>
      </c>
      <c r="P38">
        <v>0</v>
      </c>
      <c r="Q38">
        <v>0</v>
      </c>
      <c r="R38">
        <v>0</v>
      </c>
      <c r="S38">
        <v>0</v>
      </c>
      <c r="T38">
        <v>0</v>
      </c>
      <c r="U38">
        <v>0</v>
      </c>
      <c r="V38">
        <v>0</v>
      </c>
      <c r="W38">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E30"/>
  <sheetViews>
    <sheetView workbookViewId="0">
      <selection activeCell="H13" sqref="H13"/>
    </sheetView>
  </sheetViews>
  <sheetFormatPr baseColWidth="10" defaultRowHeight="15" x14ac:dyDescent="0.25"/>
  <cols>
    <col min="1" max="1" width="15.28515625" customWidth="1"/>
    <col min="2" max="2" width="23.5703125" customWidth="1"/>
    <col min="3" max="3" width="18.140625" customWidth="1"/>
    <col min="4" max="5" width="15.28515625" customWidth="1"/>
  </cols>
  <sheetData>
    <row r="1" spans="1:5" x14ac:dyDescent="0.25">
      <c r="A1" t="s">
        <v>199</v>
      </c>
      <c r="B1" t="s">
        <v>68</v>
      </c>
      <c r="C1" t="s">
        <v>200</v>
      </c>
      <c r="D1" t="s">
        <v>201</v>
      </c>
      <c r="E1" t="s">
        <v>187</v>
      </c>
    </row>
    <row r="2" spans="1:5" x14ac:dyDescent="0.25">
      <c r="C2" s="51"/>
      <c r="D2" s="51"/>
    </row>
    <row r="3" spans="1:5" x14ac:dyDescent="0.25">
      <c r="A3" t="s">
        <v>220</v>
      </c>
      <c r="B3" t="s">
        <v>15</v>
      </c>
      <c r="C3" s="51">
        <v>46181</v>
      </c>
      <c r="D3" s="51">
        <v>46185</v>
      </c>
      <c r="E3" t="s">
        <v>268</v>
      </c>
    </row>
    <row r="4" spans="1:5" x14ac:dyDescent="0.25">
      <c r="A4" t="s">
        <v>213</v>
      </c>
      <c r="B4" t="s">
        <v>9</v>
      </c>
      <c r="C4" s="51">
        <v>46181</v>
      </c>
      <c r="D4" s="51">
        <v>46182</v>
      </c>
      <c r="E4" t="s">
        <v>268</v>
      </c>
    </row>
    <row r="5" spans="1:5" x14ac:dyDescent="0.25">
      <c r="A5" t="s">
        <v>224</v>
      </c>
      <c r="B5" t="s">
        <v>19</v>
      </c>
      <c r="C5" s="51">
        <v>46181</v>
      </c>
      <c r="D5" s="51">
        <v>46192</v>
      </c>
      <c r="E5" t="s">
        <v>357</v>
      </c>
    </row>
    <row r="6" spans="1:5" x14ac:dyDescent="0.25">
      <c r="A6" t="s">
        <v>223</v>
      </c>
      <c r="B6" t="s">
        <v>18</v>
      </c>
      <c r="C6" s="51">
        <v>46188</v>
      </c>
      <c r="D6" s="51">
        <v>46199</v>
      </c>
      <c r="E6" t="s">
        <v>357</v>
      </c>
    </row>
    <row r="7" spans="1:5" x14ac:dyDescent="0.25">
      <c r="A7" t="s">
        <v>222</v>
      </c>
      <c r="B7" t="s">
        <v>17</v>
      </c>
      <c r="C7" s="51">
        <v>46195</v>
      </c>
      <c r="D7" s="51">
        <v>46199</v>
      </c>
      <c r="E7" t="s">
        <v>357</v>
      </c>
    </row>
    <row r="8" spans="1:5" x14ac:dyDescent="0.25">
      <c r="A8" t="s">
        <v>216</v>
      </c>
      <c r="B8" t="s">
        <v>11</v>
      </c>
      <c r="C8" s="51">
        <v>46190</v>
      </c>
      <c r="D8" s="51">
        <v>46190</v>
      </c>
      <c r="E8" t="s">
        <v>357</v>
      </c>
    </row>
    <row r="9" spans="1:5" x14ac:dyDescent="0.25">
      <c r="A9" t="s">
        <v>216</v>
      </c>
      <c r="B9" t="s">
        <v>11</v>
      </c>
      <c r="C9" s="51">
        <v>46197</v>
      </c>
      <c r="D9" s="51">
        <v>46197</v>
      </c>
      <c r="E9" t="s">
        <v>357</v>
      </c>
    </row>
    <row r="10" spans="1:5" x14ac:dyDescent="0.25">
      <c r="A10" t="s">
        <v>208</v>
      </c>
      <c r="B10" t="s">
        <v>8</v>
      </c>
      <c r="C10" s="51">
        <v>46230</v>
      </c>
      <c r="D10" s="51">
        <v>46234</v>
      </c>
      <c r="E10" t="s">
        <v>357</v>
      </c>
    </row>
    <row r="11" spans="1:5" x14ac:dyDescent="0.25">
      <c r="A11" t="s">
        <v>213</v>
      </c>
      <c r="B11" t="s">
        <v>9</v>
      </c>
      <c r="C11" s="51">
        <v>46223</v>
      </c>
      <c r="D11" s="51">
        <v>46234</v>
      </c>
      <c r="E11" t="s">
        <v>357</v>
      </c>
    </row>
    <row r="12" spans="1:5" x14ac:dyDescent="0.25">
      <c r="A12" t="s">
        <v>216</v>
      </c>
      <c r="B12" t="s">
        <v>11</v>
      </c>
      <c r="C12" s="51">
        <v>46204</v>
      </c>
      <c r="D12" s="51">
        <v>46204</v>
      </c>
      <c r="E12" t="s">
        <v>357</v>
      </c>
    </row>
    <row r="13" spans="1:5" x14ac:dyDescent="0.25">
      <c r="A13" t="s">
        <v>216</v>
      </c>
      <c r="B13" t="s">
        <v>11</v>
      </c>
      <c r="C13" s="51">
        <v>46216</v>
      </c>
      <c r="D13" s="51">
        <v>46234</v>
      </c>
      <c r="E13" t="s">
        <v>357</v>
      </c>
    </row>
    <row r="14" spans="1:5" x14ac:dyDescent="0.25">
      <c r="A14" t="s">
        <v>217</v>
      </c>
      <c r="B14" t="s">
        <v>12</v>
      </c>
      <c r="C14" s="51">
        <v>46220</v>
      </c>
      <c r="D14" s="51">
        <v>46234</v>
      </c>
      <c r="E14" t="s">
        <v>357</v>
      </c>
    </row>
    <row r="15" spans="1:5" x14ac:dyDescent="0.25">
      <c r="A15" t="s">
        <v>218</v>
      </c>
      <c r="B15" t="s">
        <v>13</v>
      </c>
      <c r="C15" s="51">
        <v>46216</v>
      </c>
      <c r="D15" s="51">
        <v>46234</v>
      </c>
      <c r="E15" t="s">
        <v>357</v>
      </c>
    </row>
    <row r="16" spans="1:5" x14ac:dyDescent="0.25">
      <c r="A16" t="s">
        <v>218</v>
      </c>
      <c r="B16" t="s">
        <v>13</v>
      </c>
      <c r="C16" s="51">
        <v>46206</v>
      </c>
      <c r="D16" s="51">
        <v>46206</v>
      </c>
      <c r="E16" t="s">
        <v>357</v>
      </c>
    </row>
    <row r="17" spans="1:5" x14ac:dyDescent="0.25">
      <c r="A17" t="s">
        <v>219</v>
      </c>
      <c r="B17" t="s">
        <v>14</v>
      </c>
      <c r="C17" s="51">
        <v>46223</v>
      </c>
      <c r="D17" s="51">
        <v>46234</v>
      </c>
      <c r="E17" t="s">
        <v>357</v>
      </c>
    </row>
    <row r="18" spans="1:5" x14ac:dyDescent="0.25">
      <c r="A18" t="s">
        <v>220</v>
      </c>
      <c r="B18" t="s">
        <v>15</v>
      </c>
      <c r="C18" s="51">
        <v>46223</v>
      </c>
      <c r="D18" s="51">
        <v>46234</v>
      </c>
      <c r="E18" t="s">
        <v>357</v>
      </c>
    </row>
    <row r="19" spans="1:5" x14ac:dyDescent="0.25">
      <c r="A19" t="s">
        <v>221</v>
      </c>
      <c r="B19" t="s">
        <v>16</v>
      </c>
      <c r="C19" s="51">
        <v>46216</v>
      </c>
      <c r="D19" s="51">
        <v>46234</v>
      </c>
      <c r="E19" t="s">
        <v>357</v>
      </c>
    </row>
    <row r="20" spans="1:5" x14ac:dyDescent="0.25">
      <c r="A20" t="s">
        <v>222</v>
      </c>
      <c r="B20" t="s">
        <v>17</v>
      </c>
      <c r="C20" s="51">
        <v>46223</v>
      </c>
      <c r="D20" s="51">
        <v>46234</v>
      </c>
      <c r="E20" t="s">
        <v>357</v>
      </c>
    </row>
    <row r="21" spans="1:5" x14ac:dyDescent="0.25">
      <c r="A21" t="s">
        <v>224</v>
      </c>
      <c r="B21" t="s">
        <v>19</v>
      </c>
      <c r="C21" s="51">
        <v>46230</v>
      </c>
      <c r="D21" s="51">
        <v>46234</v>
      </c>
      <c r="E21" t="s">
        <v>357</v>
      </c>
    </row>
    <row r="22" spans="1:5" x14ac:dyDescent="0.25">
      <c r="A22" t="s">
        <v>221</v>
      </c>
      <c r="B22" t="s">
        <v>16</v>
      </c>
      <c r="C22" s="51">
        <v>46206</v>
      </c>
      <c r="D22" s="51">
        <v>46206</v>
      </c>
      <c r="E22" t="s">
        <v>357</v>
      </c>
    </row>
    <row r="23" spans="1:5" x14ac:dyDescent="0.25">
      <c r="A23" t="s">
        <v>358</v>
      </c>
      <c r="B23" t="s">
        <v>359</v>
      </c>
      <c r="C23" s="51">
        <v>46188</v>
      </c>
      <c r="D23" s="51">
        <v>46192</v>
      </c>
      <c r="E23" t="s">
        <v>357</v>
      </c>
    </row>
    <row r="24" spans="1:5" x14ac:dyDescent="0.25">
      <c r="A24" t="s">
        <v>358</v>
      </c>
      <c r="B24" t="s">
        <v>359</v>
      </c>
      <c r="C24" s="51">
        <v>46184</v>
      </c>
      <c r="D24" s="51">
        <v>46184</v>
      </c>
      <c r="E24" t="s">
        <v>268</v>
      </c>
    </row>
    <row r="25" spans="1:5" x14ac:dyDescent="0.25">
      <c r="A25" t="s">
        <v>358</v>
      </c>
      <c r="B25" t="s">
        <v>359</v>
      </c>
      <c r="C25" s="51">
        <v>46203</v>
      </c>
      <c r="D25" s="51">
        <v>46203</v>
      </c>
      <c r="E25" t="s">
        <v>360</v>
      </c>
    </row>
    <row r="26" spans="1:5" x14ac:dyDescent="0.25">
      <c r="A26" t="s">
        <v>358</v>
      </c>
      <c r="B26" t="s">
        <v>359</v>
      </c>
      <c r="C26" s="51">
        <v>46185</v>
      </c>
      <c r="D26" s="51">
        <v>46185</v>
      </c>
      <c r="E26" t="s">
        <v>268</v>
      </c>
    </row>
    <row r="27" spans="1:5" x14ac:dyDescent="0.25">
      <c r="A27" t="s">
        <v>215</v>
      </c>
      <c r="B27" t="s">
        <v>10</v>
      </c>
      <c r="C27" s="51">
        <v>46185</v>
      </c>
      <c r="D27" s="51">
        <v>46185</v>
      </c>
      <c r="E27" t="s">
        <v>357</v>
      </c>
    </row>
    <row r="28" spans="1:5" x14ac:dyDescent="0.25">
      <c r="A28" t="s">
        <v>216</v>
      </c>
      <c r="B28" t="s">
        <v>11</v>
      </c>
      <c r="C28" s="51">
        <v>46185</v>
      </c>
      <c r="D28" s="51">
        <v>46185</v>
      </c>
      <c r="E28" t="s">
        <v>357</v>
      </c>
    </row>
    <row r="29" spans="1:5" x14ac:dyDescent="0.25">
      <c r="A29" t="s">
        <v>217</v>
      </c>
      <c r="B29" t="s">
        <v>12</v>
      </c>
      <c r="C29" s="51">
        <v>46185</v>
      </c>
      <c r="D29" s="51">
        <v>46185</v>
      </c>
      <c r="E29" t="s">
        <v>357</v>
      </c>
    </row>
    <row r="30" spans="1:5" x14ac:dyDescent="0.25">
      <c r="A30" t="s">
        <v>218</v>
      </c>
      <c r="B30" t="s">
        <v>13</v>
      </c>
      <c r="C30" s="51">
        <v>46185</v>
      </c>
      <c r="D30" s="51">
        <v>46185</v>
      </c>
      <c r="E30" t="s">
        <v>357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C80"/>
  <sheetViews>
    <sheetView workbookViewId="0">
      <selection activeCell="A2" sqref="A2:C25"/>
    </sheetView>
  </sheetViews>
  <sheetFormatPr baseColWidth="10" defaultRowHeight="15" x14ac:dyDescent="0.25"/>
  <cols>
    <col min="1" max="1" width="16.140625" customWidth="1"/>
    <col min="2" max="3" width="22" customWidth="1"/>
  </cols>
  <sheetData>
    <row r="1" spans="1:3" x14ac:dyDescent="0.25">
      <c r="A1" s="73" t="s">
        <v>27</v>
      </c>
      <c r="B1" t="s">
        <v>68</v>
      </c>
      <c r="C1" t="s">
        <v>187</v>
      </c>
    </row>
    <row r="2" spans="1:3" x14ac:dyDescent="0.25">
      <c r="A2" s="73">
        <v>46023</v>
      </c>
      <c r="B2" t="s">
        <v>256</v>
      </c>
      <c r="C2" t="s">
        <v>210</v>
      </c>
    </row>
    <row r="3" spans="1:3" x14ac:dyDescent="0.25">
      <c r="A3" s="73">
        <v>46082</v>
      </c>
      <c r="B3" t="s">
        <v>257</v>
      </c>
      <c r="C3" t="s">
        <v>210</v>
      </c>
    </row>
    <row r="4" spans="1:3" x14ac:dyDescent="0.25">
      <c r="A4" s="73">
        <v>46115</v>
      </c>
      <c r="B4" t="s">
        <v>258</v>
      </c>
      <c r="C4" t="s">
        <v>259</v>
      </c>
    </row>
    <row r="5" spans="1:3" x14ac:dyDescent="0.25">
      <c r="A5" s="73">
        <v>46118</v>
      </c>
      <c r="B5" t="s">
        <v>260</v>
      </c>
      <c r="C5" t="s">
        <v>259</v>
      </c>
    </row>
    <row r="6" spans="1:3" x14ac:dyDescent="0.25">
      <c r="A6" s="73">
        <v>46143</v>
      </c>
      <c r="B6" t="s">
        <v>261</v>
      </c>
      <c r="C6" t="s">
        <v>210</v>
      </c>
    </row>
    <row r="7" spans="1:3" x14ac:dyDescent="0.25">
      <c r="A7" s="73">
        <v>46156</v>
      </c>
      <c r="B7" t="s">
        <v>262</v>
      </c>
      <c r="C7" t="s">
        <v>259</v>
      </c>
    </row>
    <row r="8" spans="1:3" x14ac:dyDescent="0.25">
      <c r="A8" s="73">
        <v>46157</v>
      </c>
      <c r="B8" t="s">
        <v>294</v>
      </c>
      <c r="C8" t="s">
        <v>267</v>
      </c>
    </row>
    <row r="9" spans="1:3" x14ac:dyDescent="0.25">
      <c r="A9" s="73">
        <v>46167</v>
      </c>
      <c r="B9" t="s">
        <v>263</v>
      </c>
      <c r="C9" t="s">
        <v>259</v>
      </c>
    </row>
    <row r="10" spans="1:3" x14ac:dyDescent="0.25">
      <c r="A10" s="73">
        <v>46199</v>
      </c>
      <c r="B10" t="s">
        <v>361</v>
      </c>
      <c r="C10" t="s">
        <v>267</v>
      </c>
    </row>
    <row r="11" spans="1:3" x14ac:dyDescent="0.25">
      <c r="A11" s="73">
        <v>46235</v>
      </c>
      <c r="B11" t="s">
        <v>264</v>
      </c>
      <c r="C11" t="s">
        <v>210</v>
      </c>
    </row>
    <row r="12" spans="1:3" x14ac:dyDescent="0.25">
      <c r="A12" s="73">
        <v>46286</v>
      </c>
      <c r="B12" t="s">
        <v>265</v>
      </c>
      <c r="C12" t="s">
        <v>259</v>
      </c>
    </row>
    <row r="13" spans="1:3" x14ac:dyDescent="0.25">
      <c r="A13" s="73">
        <v>46379</v>
      </c>
      <c r="B13" t="s">
        <v>292</v>
      </c>
      <c r="C13" t="s">
        <v>269</v>
      </c>
    </row>
    <row r="14" spans="1:3" x14ac:dyDescent="0.25">
      <c r="A14" s="73">
        <v>46380</v>
      </c>
      <c r="B14" t="s">
        <v>292</v>
      </c>
      <c r="C14" t="s">
        <v>269</v>
      </c>
    </row>
    <row r="15" spans="1:3" x14ac:dyDescent="0.25">
      <c r="A15" s="73">
        <v>46381</v>
      </c>
      <c r="B15" t="s">
        <v>266</v>
      </c>
      <c r="C15" t="s">
        <v>269</v>
      </c>
    </row>
    <row r="16" spans="1:3" x14ac:dyDescent="0.25">
      <c r="A16" s="73">
        <v>46382</v>
      </c>
      <c r="B16" t="s">
        <v>292</v>
      </c>
      <c r="C16" t="s">
        <v>269</v>
      </c>
    </row>
    <row r="17" spans="1:3" x14ac:dyDescent="0.25">
      <c r="A17" s="73">
        <v>46383</v>
      </c>
      <c r="B17" t="s">
        <v>292</v>
      </c>
      <c r="C17" t="s">
        <v>269</v>
      </c>
    </row>
    <row r="18" spans="1:3" x14ac:dyDescent="0.25">
      <c r="A18" s="73">
        <v>46384</v>
      </c>
      <c r="B18" t="s">
        <v>292</v>
      </c>
      <c r="C18" t="s">
        <v>269</v>
      </c>
    </row>
    <row r="19" spans="1:3" x14ac:dyDescent="0.25">
      <c r="A19" s="73">
        <v>46385</v>
      </c>
      <c r="B19" t="s">
        <v>292</v>
      </c>
      <c r="C19" t="s">
        <v>269</v>
      </c>
    </row>
    <row r="20" spans="1:3" x14ac:dyDescent="0.25">
      <c r="A20" s="73">
        <v>46386</v>
      </c>
      <c r="B20" t="s">
        <v>292</v>
      </c>
      <c r="C20" t="s">
        <v>269</v>
      </c>
    </row>
    <row r="21" spans="1:3" x14ac:dyDescent="0.25">
      <c r="A21" s="73">
        <v>46387</v>
      </c>
      <c r="B21" t="s">
        <v>292</v>
      </c>
      <c r="C21" t="s">
        <v>269</v>
      </c>
    </row>
    <row r="22" spans="1:3" x14ac:dyDescent="0.25">
      <c r="A22" s="73">
        <v>46388</v>
      </c>
      <c r="B22" t="s">
        <v>292</v>
      </c>
      <c r="C22" t="s">
        <v>269</v>
      </c>
    </row>
    <row r="23" spans="1:3" x14ac:dyDescent="0.25">
      <c r="A23" s="73">
        <v>46389</v>
      </c>
      <c r="B23" t="s">
        <v>292</v>
      </c>
      <c r="C23" t="s">
        <v>269</v>
      </c>
    </row>
    <row r="24" spans="1:3" x14ac:dyDescent="0.25">
      <c r="A24" s="73"/>
    </row>
    <row r="25" spans="1:3" x14ac:dyDescent="0.25">
      <c r="A25" s="73"/>
    </row>
    <row r="26" spans="1:3" x14ac:dyDescent="0.25">
      <c r="A26" s="73"/>
    </row>
    <row r="27" spans="1:3" x14ac:dyDescent="0.25">
      <c r="A27" s="73"/>
    </row>
    <row r="28" spans="1:3" x14ac:dyDescent="0.25">
      <c r="A28" s="73"/>
    </row>
    <row r="29" spans="1:3" x14ac:dyDescent="0.25">
      <c r="A29" s="73"/>
    </row>
    <row r="30" spans="1:3" x14ac:dyDescent="0.25">
      <c r="A30" s="73"/>
    </row>
    <row r="31" spans="1:3" x14ac:dyDescent="0.25">
      <c r="A31" s="73"/>
    </row>
    <row r="32" spans="1:3" x14ac:dyDescent="0.25">
      <c r="A32" s="73"/>
    </row>
    <row r="34" spans="1:1" x14ac:dyDescent="0.25">
      <c r="A34" s="73"/>
    </row>
    <row r="35" spans="1:1" x14ac:dyDescent="0.25">
      <c r="A35" s="73"/>
    </row>
    <row r="36" spans="1:1" x14ac:dyDescent="0.25">
      <c r="A36" s="73"/>
    </row>
    <row r="37" spans="1:1" x14ac:dyDescent="0.25">
      <c r="A37" s="73"/>
    </row>
    <row r="38" spans="1:1" x14ac:dyDescent="0.25">
      <c r="A38" s="73"/>
    </row>
    <row r="39" spans="1:1" x14ac:dyDescent="0.25">
      <c r="A39" s="73"/>
    </row>
    <row r="40" spans="1:1" x14ac:dyDescent="0.25">
      <c r="A40" s="73"/>
    </row>
    <row r="41" spans="1:1" x14ac:dyDescent="0.25">
      <c r="A41" s="73"/>
    </row>
    <row r="42" spans="1:1" x14ac:dyDescent="0.25">
      <c r="A42" s="73"/>
    </row>
    <row r="44" spans="1:1" x14ac:dyDescent="0.25">
      <c r="A44" s="73"/>
    </row>
    <row r="45" spans="1:1" x14ac:dyDescent="0.25">
      <c r="A45" s="73"/>
    </row>
    <row r="46" spans="1:1" x14ac:dyDescent="0.25">
      <c r="A46" s="73"/>
    </row>
    <row r="47" spans="1:1" x14ac:dyDescent="0.25">
      <c r="A47" s="73"/>
    </row>
    <row r="48" spans="1:1" x14ac:dyDescent="0.25">
      <c r="A48" s="73"/>
    </row>
    <row r="49" spans="1:1" x14ac:dyDescent="0.25">
      <c r="A49" s="73"/>
    </row>
    <row r="50" spans="1:1" x14ac:dyDescent="0.25">
      <c r="A50" s="73"/>
    </row>
    <row r="51" spans="1:1" x14ac:dyDescent="0.25">
      <c r="A51" s="73"/>
    </row>
    <row r="52" spans="1:1" x14ac:dyDescent="0.25">
      <c r="A52" s="73"/>
    </row>
    <row r="53" spans="1:1" x14ac:dyDescent="0.25">
      <c r="A53" s="73"/>
    </row>
    <row r="54" spans="1:1" x14ac:dyDescent="0.25">
      <c r="A54" s="73"/>
    </row>
    <row r="55" spans="1:1" x14ac:dyDescent="0.25">
      <c r="A55" s="73"/>
    </row>
    <row r="57" spans="1:1" x14ac:dyDescent="0.25">
      <c r="A57" s="73"/>
    </row>
    <row r="58" spans="1:1" x14ac:dyDescent="0.25">
      <c r="A58" s="73"/>
    </row>
    <row r="59" spans="1:1" x14ac:dyDescent="0.25">
      <c r="A59" s="73"/>
    </row>
    <row r="60" spans="1:1" x14ac:dyDescent="0.25">
      <c r="A60" s="73"/>
    </row>
    <row r="61" spans="1:1" x14ac:dyDescent="0.25">
      <c r="A61" s="73"/>
    </row>
    <row r="62" spans="1:1" x14ac:dyDescent="0.25">
      <c r="A62" s="73"/>
    </row>
    <row r="63" spans="1:1" x14ac:dyDescent="0.25">
      <c r="A63" s="73"/>
    </row>
    <row r="64" spans="1:1" x14ac:dyDescent="0.25">
      <c r="A64" s="73"/>
    </row>
    <row r="65" spans="1:1" x14ac:dyDescent="0.25">
      <c r="A65" s="73"/>
    </row>
    <row r="66" spans="1:1" x14ac:dyDescent="0.25">
      <c r="A66" s="73"/>
    </row>
    <row r="67" spans="1:1" x14ac:dyDescent="0.25">
      <c r="A67" s="73"/>
    </row>
    <row r="68" spans="1:1" x14ac:dyDescent="0.25">
      <c r="A68" s="73"/>
    </row>
    <row r="69" spans="1:1" x14ac:dyDescent="0.25">
      <c r="A69" s="73"/>
    </row>
    <row r="70" spans="1:1" x14ac:dyDescent="0.25">
      <c r="A70" s="73"/>
    </row>
    <row r="71" spans="1:1" x14ac:dyDescent="0.25">
      <c r="A71" s="73"/>
    </row>
    <row r="72" spans="1:1" x14ac:dyDescent="0.25">
      <c r="A72" s="73"/>
    </row>
    <row r="73" spans="1:1" x14ac:dyDescent="0.25">
      <c r="A73" s="73"/>
    </row>
    <row r="74" spans="1:1" x14ac:dyDescent="0.25">
      <c r="A74" s="73"/>
    </row>
    <row r="77" spans="1:1" x14ac:dyDescent="0.25">
      <c r="A77" s="73"/>
    </row>
    <row r="78" spans="1:1" x14ac:dyDescent="0.25">
      <c r="A78" s="73"/>
    </row>
    <row r="79" spans="1:1" x14ac:dyDescent="0.25">
      <c r="A79" s="73"/>
    </row>
    <row r="80" spans="1:1" x14ac:dyDescent="0.25">
      <c r="A80" s="73"/>
    </row>
  </sheetData>
  <sortState ref="A1:C28">
    <sortCondition ref="A2"/>
  </sortState>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D404"/>
  <sheetViews>
    <sheetView workbookViewId="0">
      <selection activeCell="A2" sqref="A2:D143"/>
    </sheetView>
  </sheetViews>
  <sheetFormatPr baseColWidth="10" defaultRowHeight="15" x14ac:dyDescent="0.25"/>
  <cols>
    <col min="1" max="1" width="14.85546875" customWidth="1"/>
    <col min="2" max="2" width="13.85546875" customWidth="1"/>
    <col min="3" max="3" width="19.7109375" customWidth="1"/>
    <col min="4" max="4" width="20" customWidth="1"/>
  </cols>
  <sheetData>
    <row r="1" spans="1:4" x14ac:dyDescent="0.25">
      <c r="A1" s="73" t="s">
        <v>27</v>
      </c>
      <c r="B1" t="s">
        <v>188</v>
      </c>
      <c r="C1" t="s">
        <v>187</v>
      </c>
      <c r="D1" t="s">
        <v>287</v>
      </c>
    </row>
    <row r="2" spans="1:4" x14ac:dyDescent="0.25">
      <c r="A2" s="73">
        <v>46023</v>
      </c>
      <c r="B2" t="s">
        <v>244</v>
      </c>
      <c r="C2" t="s">
        <v>290</v>
      </c>
      <c r="D2" t="s">
        <v>291</v>
      </c>
    </row>
    <row r="3" spans="1:4" x14ac:dyDescent="0.25">
      <c r="A3" s="73">
        <v>46025</v>
      </c>
      <c r="B3" t="s">
        <v>244</v>
      </c>
      <c r="C3" t="s">
        <v>289</v>
      </c>
      <c r="D3" t="s">
        <v>291</v>
      </c>
    </row>
    <row r="4" spans="1:4" x14ac:dyDescent="0.25">
      <c r="A4" s="73">
        <v>46026</v>
      </c>
      <c r="B4" t="s">
        <v>244</v>
      </c>
      <c r="C4" t="s">
        <v>289</v>
      </c>
      <c r="D4" t="s">
        <v>291</v>
      </c>
    </row>
    <row r="5" spans="1:4" x14ac:dyDescent="0.25">
      <c r="A5" s="73">
        <v>46032</v>
      </c>
      <c r="B5" t="s">
        <v>227</v>
      </c>
      <c r="C5" t="s">
        <v>289</v>
      </c>
      <c r="D5" t="s">
        <v>291</v>
      </c>
    </row>
    <row r="6" spans="1:4" x14ac:dyDescent="0.25">
      <c r="A6" s="73">
        <v>46033</v>
      </c>
      <c r="B6" t="s">
        <v>227</v>
      </c>
      <c r="C6" t="s">
        <v>289</v>
      </c>
      <c r="D6" t="s">
        <v>291</v>
      </c>
    </row>
    <row r="7" spans="1:4" x14ac:dyDescent="0.25">
      <c r="A7" s="73">
        <v>46039</v>
      </c>
      <c r="B7" t="s">
        <v>244</v>
      </c>
      <c r="C7" t="s">
        <v>289</v>
      </c>
      <c r="D7" t="s">
        <v>291</v>
      </c>
    </row>
    <row r="8" spans="1:4" x14ac:dyDescent="0.25">
      <c r="A8" s="73">
        <v>46040</v>
      </c>
      <c r="B8" t="s">
        <v>244</v>
      </c>
      <c r="C8" t="s">
        <v>289</v>
      </c>
      <c r="D8" t="s">
        <v>291</v>
      </c>
    </row>
    <row r="9" spans="1:4" x14ac:dyDescent="0.25">
      <c r="A9" s="73">
        <v>46046</v>
      </c>
      <c r="B9" t="s">
        <v>227</v>
      </c>
      <c r="C9" t="s">
        <v>289</v>
      </c>
      <c r="D9" t="s">
        <v>291</v>
      </c>
    </row>
    <row r="10" spans="1:4" x14ac:dyDescent="0.25">
      <c r="A10" s="73">
        <v>46047</v>
      </c>
      <c r="B10" t="s">
        <v>227</v>
      </c>
      <c r="C10" t="s">
        <v>289</v>
      </c>
      <c r="D10" t="s">
        <v>291</v>
      </c>
    </row>
    <row r="11" spans="1:4" x14ac:dyDescent="0.25">
      <c r="A11" s="73">
        <v>46053</v>
      </c>
      <c r="B11" t="s">
        <v>244</v>
      </c>
      <c r="C11" t="s">
        <v>289</v>
      </c>
      <c r="D11" t="s">
        <v>291</v>
      </c>
    </row>
    <row r="12" spans="1:4" x14ac:dyDescent="0.25">
      <c r="A12" s="73">
        <v>46054</v>
      </c>
      <c r="B12" t="s">
        <v>244</v>
      </c>
      <c r="C12" t="s">
        <v>289</v>
      </c>
      <c r="D12" t="s">
        <v>291</v>
      </c>
    </row>
    <row r="13" spans="1:4" x14ac:dyDescent="0.25">
      <c r="A13" s="73">
        <v>46060</v>
      </c>
      <c r="B13" t="s">
        <v>227</v>
      </c>
      <c r="C13" t="s">
        <v>289</v>
      </c>
      <c r="D13" t="s">
        <v>291</v>
      </c>
    </row>
    <row r="14" spans="1:4" x14ac:dyDescent="0.25">
      <c r="A14" s="73">
        <v>46061</v>
      </c>
      <c r="B14" t="s">
        <v>227</v>
      </c>
      <c r="C14" t="s">
        <v>289</v>
      </c>
      <c r="D14" t="s">
        <v>291</v>
      </c>
    </row>
    <row r="15" spans="1:4" x14ac:dyDescent="0.25">
      <c r="A15" s="73">
        <v>46067</v>
      </c>
      <c r="B15" t="s">
        <v>244</v>
      </c>
      <c r="C15" t="s">
        <v>289</v>
      </c>
      <c r="D15" t="s">
        <v>291</v>
      </c>
    </row>
    <row r="16" spans="1:4" x14ac:dyDescent="0.25">
      <c r="A16" s="73">
        <v>46068</v>
      </c>
      <c r="B16" t="s">
        <v>244</v>
      </c>
      <c r="C16" t="s">
        <v>289</v>
      </c>
      <c r="D16" t="s">
        <v>291</v>
      </c>
    </row>
    <row r="17" spans="1:4" x14ac:dyDescent="0.25">
      <c r="A17" s="73">
        <v>46074</v>
      </c>
      <c r="B17" t="s">
        <v>227</v>
      </c>
      <c r="C17" t="s">
        <v>289</v>
      </c>
      <c r="D17" t="s">
        <v>291</v>
      </c>
    </row>
    <row r="18" spans="1:4" x14ac:dyDescent="0.25">
      <c r="A18" s="73">
        <v>46075</v>
      </c>
      <c r="B18" t="s">
        <v>227</v>
      </c>
      <c r="C18" t="s">
        <v>289</v>
      </c>
      <c r="D18" t="s">
        <v>291</v>
      </c>
    </row>
    <row r="19" spans="1:4" x14ac:dyDescent="0.25">
      <c r="A19" s="73">
        <v>46081</v>
      </c>
      <c r="B19" t="s">
        <v>244</v>
      </c>
      <c r="C19" t="s">
        <v>289</v>
      </c>
      <c r="D19" t="s">
        <v>291</v>
      </c>
    </row>
    <row r="20" spans="1:4" x14ac:dyDescent="0.25">
      <c r="A20" s="73">
        <v>46082</v>
      </c>
      <c r="B20" t="s">
        <v>244</v>
      </c>
      <c r="C20" t="s">
        <v>289</v>
      </c>
      <c r="D20" t="s">
        <v>291</v>
      </c>
    </row>
    <row r="21" spans="1:4" x14ac:dyDescent="0.25">
      <c r="A21" s="73">
        <v>46088</v>
      </c>
      <c r="B21" t="s">
        <v>227</v>
      </c>
      <c r="C21" t="s">
        <v>289</v>
      </c>
      <c r="D21" t="s">
        <v>291</v>
      </c>
    </row>
    <row r="22" spans="1:4" x14ac:dyDescent="0.25">
      <c r="A22" s="73">
        <v>46089</v>
      </c>
      <c r="B22" t="s">
        <v>227</v>
      </c>
      <c r="C22" t="s">
        <v>289</v>
      </c>
      <c r="D22" t="s">
        <v>291</v>
      </c>
    </row>
    <row r="23" spans="1:4" x14ac:dyDescent="0.25">
      <c r="A23" s="73">
        <v>46095</v>
      </c>
      <c r="B23" t="s">
        <v>244</v>
      </c>
      <c r="C23" t="s">
        <v>289</v>
      </c>
      <c r="D23" t="s">
        <v>291</v>
      </c>
    </row>
    <row r="24" spans="1:4" x14ac:dyDescent="0.25">
      <c r="A24" s="73">
        <v>46096</v>
      </c>
      <c r="B24" t="s">
        <v>244</v>
      </c>
      <c r="C24" t="s">
        <v>289</v>
      </c>
      <c r="D24" t="s">
        <v>291</v>
      </c>
    </row>
    <row r="25" spans="1:4" x14ac:dyDescent="0.25">
      <c r="A25" s="73">
        <v>46102</v>
      </c>
      <c r="B25" t="s">
        <v>227</v>
      </c>
      <c r="C25" t="s">
        <v>289</v>
      </c>
      <c r="D25" t="s">
        <v>291</v>
      </c>
    </row>
    <row r="26" spans="1:4" x14ac:dyDescent="0.25">
      <c r="A26" s="73">
        <v>46103</v>
      </c>
      <c r="B26" t="s">
        <v>227</v>
      </c>
      <c r="C26" t="s">
        <v>289</v>
      </c>
      <c r="D26" t="s">
        <v>291</v>
      </c>
    </row>
    <row r="27" spans="1:4" x14ac:dyDescent="0.25">
      <c r="A27" s="73">
        <v>46109</v>
      </c>
      <c r="B27" t="s">
        <v>244</v>
      </c>
      <c r="C27" t="s">
        <v>289</v>
      </c>
      <c r="D27" t="s">
        <v>291</v>
      </c>
    </row>
    <row r="28" spans="1:4" x14ac:dyDescent="0.25">
      <c r="A28" s="73">
        <v>46110</v>
      </c>
      <c r="B28" t="s">
        <v>244</v>
      </c>
      <c r="C28" t="s">
        <v>289</v>
      </c>
      <c r="D28" t="s">
        <v>291</v>
      </c>
    </row>
    <row r="29" spans="1:4" x14ac:dyDescent="0.25">
      <c r="A29" s="73">
        <v>46115</v>
      </c>
      <c r="B29" t="s">
        <v>244</v>
      </c>
      <c r="C29" t="s">
        <v>290</v>
      </c>
      <c r="D29" t="s">
        <v>288</v>
      </c>
    </row>
    <row r="30" spans="1:4" x14ac:dyDescent="0.25">
      <c r="A30" s="73">
        <v>46115</v>
      </c>
      <c r="B30" t="s">
        <v>244</v>
      </c>
      <c r="C30" t="s">
        <v>290</v>
      </c>
      <c r="D30" t="s">
        <v>288</v>
      </c>
    </row>
    <row r="31" spans="1:4" x14ac:dyDescent="0.25">
      <c r="A31" s="73">
        <v>46115</v>
      </c>
      <c r="B31" t="s">
        <v>244</v>
      </c>
      <c r="C31" t="s">
        <v>290</v>
      </c>
      <c r="D31" t="s">
        <v>288</v>
      </c>
    </row>
    <row r="32" spans="1:4" x14ac:dyDescent="0.25">
      <c r="A32" s="73">
        <v>46116</v>
      </c>
      <c r="B32" t="s">
        <v>244</v>
      </c>
      <c r="C32" t="s">
        <v>289</v>
      </c>
      <c r="D32" t="s">
        <v>288</v>
      </c>
    </row>
    <row r="33" spans="1:4" x14ac:dyDescent="0.25">
      <c r="A33" s="73">
        <v>46116</v>
      </c>
      <c r="B33" t="s">
        <v>244</v>
      </c>
      <c r="C33" t="s">
        <v>289</v>
      </c>
      <c r="D33" t="s">
        <v>288</v>
      </c>
    </row>
    <row r="34" spans="1:4" x14ac:dyDescent="0.25">
      <c r="A34" s="73">
        <v>46116</v>
      </c>
      <c r="B34" t="s">
        <v>244</v>
      </c>
      <c r="C34" t="s">
        <v>289</v>
      </c>
      <c r="D34" t="s">
        <v>288</v>
      </c>
    </row>
    <row r="35" spans="1:4" x14ac:dyDescent="0.25">
      <c r="A35" s="73">
        <v>46117</v>
      </c>
      <c r="B35" t="s">
        <v>244</v>
      </c>
      <c r="C35" t="s">
        <v>289</v>
      </c>
      <c r="D35" t="s">
        <v>291</v>
      </c>
    </row>
    <row r="36" spans="1:4" x14ac:dyDescent="0.25">
      <c r="A36" s="73">
        <v>46118</v>
      </c>
      <c r="B36" t="s">
        <v>244</v>
      </c>
      <c r="C36" t="s">
        <v>290</v>
      </c>
      <c r="D36" t="s">
        <v>291</v>
      </c>
    </row>
    <row r="37" spans="1:4" x14ac:dyDescent="0.25">
      <c r="A37" s="73">
        <v>46123</v>
      </c>
      <c r="B37" t="s">
        <v>244</v>
      </c>
      <c r="C37" t="s">
        <v>289</v>
      </c>
      <c r="D37" t="s">
        <v>291</v>
      </c>
    </row>
    <row r="38" spans="1:4" x14ac:dyDescent="0.25">
      <c r="A38" s="73">
        <v>46124</v>
      </c>
      <c r="B38" t="s">
        <v>244</v>
      </c>
      <c r="C38" t="s">
        <v>289</v>
      </c>
      <c r="D38" t="s">
        <v>291</v>
      </c>
    </row>
    <row r="39" spans="1:4" x14ac:dyDescent="0.25">
      <c r="A39" s="73">
        <v>46130</v>
      </c>
      <c r="B39" t="s">
        <v>227</v>
      </c>
      <c r="C39" t="s">
        <v>289</v>
      </c>
      <c r="D39" t="s">
        <v>291</v>
      </c>
    </row>
    <row r="40" spans="1:4" x14ac:dyDescent="0.25">
      <c r="A40" s="73">
        <v>46131</v>
      </c>
      <c r="B40" t="s">
        <v>227</v>
      </c>
      <c r="C40" t="s">
        <v>289</v>
      </c>
      <c r="D40" t="s">
        <v>291</v>
      </c>
    </row>
    <row r="41" spans="1:4" x14ac:dyDescent="0.25">
      <c r="A41" s="73">
        <v>46137</v>
      </c>
      <c r="B41" t="s">
        <v>244</v>
      </c>
      <c r="C41" t="s">
        <v>289</v>
      </c>
      <c r="D41" t="s">
        <v>291</v>
      </c>
    </row>
    <row r="42" spans="1:4" x14ac:dyDescent="0.25">
      <c r="A42" s="73">
        <v>46138</v>
      </c>
      <c r="B42" t="s">
        <v>244</v>
      </c>
      <c r="C42" t="s">
        <v>289</v>
      </c>
      <c r="D42" t="s">
        <v>291</v>
      </c>
    </row>
    <row r="43" spans="1:4" x14ac:dyDescent="0.25">
      <c r="A43" s="73">
        <v>46143</v>
      </c>
      <c r="B43" t="s">
        <v>227</v>
      </c>
      <c r="C43" t="s">
        <v>290</v>
      </c>
      <c r="D43" t="s">
        <v>291</v>
      </c>
    </row>
    <row r="44" spans="1:4" x14ac:dyDescent="0.25">
      <c r="A44" s="73">
        <v>46144</v>
      </c>
      <c r="B44" t="s">
        <v>227</v>
      </c>
      <c r="C44" t="s">
        <v>289</v>
      </c>
      <c r="D44" t="s">
        <v>291</v>
      </c>
    </row>
    <row r="45" spans="1:4" x14ac:dyDescent="0.25">
      <c r="A45" s="73">
        <v>46145</v>
      </c>
      <c r="B45" t="s">
        <v>227</v>
      </c>
      <c r="C45" t="s">
        <v>289</v>
      </c>
      <c r="D45" t="s">
        <v>291</v>
      </c>
    </row>
    <row r="46" spans="1:4" x14ac:dyDescent="0.25">
      <c r="A46" s="73">
        <v>46151</v>
      </c>
      <c r="B46" t="s">
        <v>244</v>
      </c>
      <c r="C46" t="s">
        <v>289</v>
      </c>
      <c r="D46" t="s">
        <v>291</v>
      </c>
    </row>
    <row r="47" spans="1:4" x14ac:dyDescent="0.25">
      <c r="A47" s="73">
        <v>46152</v>
      </c>
      <c r="B47" t="s">
        <v>244</v>
      </c>
      <c r="C47" t="s">
        <v>289</v>
      </c>
      <c r="D47" t="s">
        <v>291</v>
      </c>
    </row>
    <row r="48" spans="1:4" x14ac:dyDescent="0.25">
      <c r="A48" s="73">
        <v>46156</v>
      </c>
      <c r="B48" t="s">
        <v>227</v>
      </c>
      <c r="C48" t="s">
        <v>290</v>
      </c>
      <c r="D48" t="s">
        <v>291</v>
      </c>
    </row>
    <row r="49" spans="1:4" x14ac:dyDescent="0.25">
      <c r="A49" s="73">
        <v>46157</v>
      </c>
      <c r="B49" t="s">
        <v>227</v>
      </c>
      <c r="C49" t="s">
        <v>290</v>
      </c>
      <c r="D49" t="s">
        <v>291</v>
      </c>
    </row>
    <row r="50" spans="1:4" x14ac:dyDescent="0.25">
      <c r="A50" s="73">
        <v>46158</v>
      </c>
      <c r="B50" t="s">
        <v>244</v>
      </c>
      <c r="C50" t="s">
        <v>289</v>
      </c>
      <c r="D50" t="s">
        <v>288</v>
      </c>
    </row>
    <row r="51" spans="1:4" x14ac:dyDescent="0.25">
      <c r="A51" s="73">
        <v>46158</v>
      </c>
      <c r="B51" t="s">
        <v>244</v>
      </c>
      <c r="C51" t="s">
        <v>289</v>
      </c>
      <c r="D51" t="s">
        <v>288</v>
      </c>
    </row>
    <row r="52" spans="1:4" x14ac:dyDescent="0.25">
      <c r="A52" s="73">
        <v>46158</v>
      </c>
      <c r="B52" t="s">
        <v>244</v>
      </c>
      <c r="C52" t="s">
        <v>289</v>
      </c>
      <c r="D52" t="s">
        <v>288</v>
      </c>
    </row>
    <row r="53" spans="1:4" x14ac:dyDescent="0.25">
      <c r="A53" s="73">
        <v>46159</v>
      </c>
      <c r="B53" t="s">
        <v>244</v>
      </c>
      <c r="C53" t="s">
        <v>289</v>
      </c>
      <c r="D53" t="s">
        <v>288</v>
      </c>
    </row>
    <row r="54" spans="1:4" x14ac:dyDescent="0.25">
      <c r="A54" s="73">
        <v>46159</v>
      </c>
      <c r="B54" t="s">
        <v>244</v>
      </c>
      <c r="C54" t="s">
        <v>289</v>
      </c>
      <c r="D54" t="s">
        <v>288</v>
      </c>
    </row>
    <row r="55" spans="1:4" x14ac:dyDescent="0.25">
      <c r="A55" s="73">
        <v>46159</v>
      </c>
      <c r="B55" t="s">
        <v>244</v>
      </c>
      <c r="C55" t="s">
        <v>289</v>
      </c>
      <c r="D55" t="s">
        <v>288</v>
      </c>
    </row>
    <row r="56" spans="1:4" x14ac:dyDescent="0.25">
      <c r="A56" s="73">
        <v>46165</v>
      </c>
      <c r="B56" t="s">
        <v>227</v>
      </c>
      <c r="C56" t="s">
        <v>289</v>
      </c>
      <c r="D56" t="s">
        <v>288</v>
      </c>
    </row>
    <row r="57" spans="1:4" x14ac:dyDescent="0.25">
      <c r="A57" s="73">
        <v>46165</v>
      </c>
      <c r="B57" t="s">
        <v>227</v>
      </c>
      <c r="C57" t="s">
        <v>289</v>
      </c>
      <c r="D57" t="s">
        <v>288</v>
      </c>
    </row>
    <row r="58" spans="1:4" x14ac:dyDescent="0.25">
      <c r="A58" s="73">
        <v>46165</v>
      </c>
      <c r="B58" t="s">
        <v>227</v>
      </c>
      <c r="C58" t="s">
        <v>289</v>
      </c>
      <c r="D58" t="s">
        <v>288</v>
      </c>
    </row>
    <row r="59" spans="1:4" x14ac:dyDescent="0.25">
      <c r="A59" s="73">
        <v>46166</v>
      </c>
      <c r="B59" t="s">
        <v>227</v>
      </c>
      <c r="C59" t="s">
        <v>289</v>
      </c>
      <c r="D59" t="s">
        <v>288</v>
      </c>
    </row>
    <row r="60" spans="1:4" x14ac:dyDescent="0.25">
      <c r="A60" s="73">
        <v>46166</v>
      </c>
      <c r="B60" t="s">
        <v>227</v>
      </c>
      <c r="C60" t="s">
        <v>289</v>
      </c>
      <c r="D60" t="s">
        <v>288</v>
      </c>
    </row>
    <row r="61" spans="1:4" x14ac:dyDescent="0.25">
      <c r="A61" s="73">
        <v>46166</v>
      </c>
      <c r="B61" t="s">
        <v>227</v>
      </c>
      <c r="C61" t="s">
        <v>289</v>
      </c>
      <c r="D61" t="s">
        <v>288</v>
      </c>
    </row>
    <row r="62" spans="1:4" x14ac:dyDescent="0.25">
      <c r="A62" s="73">
        <v>46167</v>
      </c>
      <c r="B62" t="s">
        <v>227</v>
      </c>
      <c r="C62" t="s">
        <v>290</v>
      </c>
      <c r="D62" t="s">
        <v>288</v>
      </c>
    </row>
    <row r="63" spans="1:4" x14ac:dyDescent="0.25">
      <c r="A63" s="73">
        <v>46167</v>
      </c>
      <c r="B63" t="s">
        <v>227</v>
      </c>
      <c r="C63" t="s">
        <v>290</v>
      </c>
      <c r="D63" t="s">
        <v>288</v>
      </c>
    </row>
    <row r="64" spans="1:4" x14ac:dyDescent="0.25">
      <c r="A64" s="73">
        <v>46167</v>
      </c>
      <c r="B64" t="s">
        <v>227</v>
      </c>
      <c r="C64" t="s">
        <v>290</v>
      </c>
      <c r="D64" t="s">
        <v>288</v>
      </c>
    </row>
    <row r="65" spans="1:4" x14ac:dyDescent="0.25">
      <c r="A65" s="73">
        <v>46172</v>
      </c>
      <c r="B65" t="s">
        <v>244</v>
      </c>
      <c r="C65" t="s">
        <v>289</v>
      </c>
      <c r="D65" t="s">
        <v>288</v>
      </c>
    </row>
    <row r="66" spans="1:4" x14ac:dyDescent="0.25">
      <c r="A66" s="73">
        <v>46172</v>
      </c>
      <c r="B66" t="s">
        <v>244</v>
      </c>
      <c r="C66" t="s">
        <v>289</v>
      </c>
      <c r="D66" t="s">
        <v>288</v>
      </c>
    </row>
    <row r="67" spans="1:4" x14ac:dyDescent="0.25">
      <c r="A67" s="73">
        <v>46172</v>
      </c>
      <c r="B67" t="s">
        <v>244</v>
      </c>
      <c r="C67" t="s">
        <v>289</v>
      </c>
      <c r="D67" t="s">
        <v>288</v>
      </c>
    </row>
    <row r="68" spans="1:4" x14ac:dyDescent="0.25">
      <c r="A68" s="73">
        <v>46173</v>
      </c>
      <c r="B68" t="s">
        <v>244</v>
      </c>
      <c r="C68" t="s">
        <v>289</v>
      </c>
      <c r="D68" t="s">
        <v>288</v>
      </c>
    </row>
    <row r="69" spans="1:4" x14ac:dyDescent="0.25">
      <c r="A69" s="73">
        <v>46173</v>
      </c>
      <c r="B69" t="s">
        <v>244</v>
      </c>
      <c r="C69" t="s">
        <v>289</v>
      </c>
      <c r="D69" t="s">
        <v>288</v>
      </c>
    </row>
    <row r="70" spans="1:4" x14ac:dyDescent="0.25">
      <c r="A70" s="73">
        <v>46173</v>
      </c>
      <c r="B70" t="s">
        <v>244</v>
      </c>
      <c r="C70" t="s">
        <v>289</v>
      </c>
      <c r="D70" t="s">
        <v>288</v>
      </c>
    </row>
    <row r="71" spans="1:4" x14ac:dyDescent="0.25">
      <c r="A71" s="73">
        <v>46179</v>
      </c>
      <c r="B71" t="s">
        <v>227</v>
      </c>
      <c r="C71" t="s">
        <v>289</v>
      </c>
      <c r="D71" t="s">
        <v>291</v>
      </c>
    </row>
    <row r="72" spans="1:4" x14ac:dyDescent="0.25">
      <c r="A72" s="73">
        <v>46180</v>
      </c>
      <c r="B72" t="s">
        <v>227</v>
      </c>
      <c r="C72" t="s">
        <v>289</v>
      </c>
      <c r="D72" t="s">
        <v>291</v>
      </c>
    </row>
    <row r="73" spans="1:4" x14ac:dyDescent="0.25">
      <c r="A73" s="73">
        <v>46186</v>
      </c>
      <c r="B73" t="s">
        <v>244</v>
      </c>
      <c r="C73" t="s">
        <v>289</v>
      </c>
      <c r="D73" t="s">
        <v>291</v>
      </c>
    </row>
    <row r="74" spans="1:4" x14ac:dyDescent="0.25">
      <c r="A74" s="73">
        <v>46187</v>
      </c>
      <c r="B74" t="s">
        <v>244</v>
      </c>
      <c r="C74" t="s">
        <v>289</v>
      </c>
      <c r="D74" t="s">
        <v>291</v>
      </c>
    </row>
    <row r="75" spans="1:4" x14ac:dyDescent="0.25">
      <c r="A75" s="73">
        <v>46193</v>
      </c>
      <c r="B75" t="s">
        <v>227</v>
      </c>
      <c r="C75" t="s">
        <v>289</v>
      </c>
      <c r="D75" t="s">
        <v>291</v>
      </c>
    </row>
    <row r="76" spans="1:4" x14ac:dyDescent="0.25">
      <c r="A76" s="73">
        <v>46194</v>
      </c>
      <c r="B76" t="s">
        <v>227</v>
      </c>
      <c r="C76" t="s">
        <v>289</v>
      </c>
      <c r="D76" t="s">
        <v>291</v>
      </c>
    </row>
    <row r="77" spans="1:4" x14ac:dyDescent="0.25">
      <c r="A77" s="73">
        <v>46199</v>
      </c>
      <c r="B77" t="s">
        <v>244</v>
      </c>
      <c r="C77" t="s">
        <v>290</v>
      </c>
      <c r="D77" t="s">
        <v>288</v>
      </c>
    </row>
    <row r="78" spans="1:4" x14ac:dyDescent="0.25">
      <c r="A78" s="73">
        <v>46200</v>
      </c>
      <c r="B78" t="s">
        <v>244</v>
      </c>
      <c r="C78" t="s">
        <v>289</v>
      </c>
      <c r="D78" t="s">
        <v>291</v>
      </c>
    </row>
    <row r="79" spans="1:4" x14ac:dyDescent="0.25">
      <c r="A79" s="73">
        <v>46201</v>
      </c>
      <c r="B79" t="s">
        <v>244</v>
      </c>
      <c r="C79" t="s">
        <v>289</v>
      </c>
      <c r="D79" t="s">
        <v>291</v>
      </c>
    </row>
    <row r="80" spans="1:4" x14ac:dyDescent="0.25">
      <c r="A80" s="73">
        <v>46207</v>
      </c>
      <c r="B80" t="s">
        <v>227</v>
      </c>
      <c r="C80" t="s">
        <v>289</v>
      </c>
      <c r="D80" t="s">
        <v>291</v>
      </c>
    </row>
    <row r="81" spans="1:4" x14ac:dyDescent="0.25">
      <c r="A81" s="73">
        <v>46208</v>
      </c>
      <c r="B81" t="s">
        <v>227</v>
      </c>
      <c r="C81" t="s">
        <v>289</v>
      </c>
      <c r="D81" t="s">
        <v>291</v>
      </c>
    </row>
    <row r="82" spans="1:4" x14ac:dyDescent="0.25">
      <c r="A82" s="73">
        <v>46214</v>
      </c>
      <c r="B82" t="s">
        <v>244</v>
      </c>
      <c r="C82" t="s">
        <v>289</v>
      </c>
      <c r="D82" t="s">
        <v>291</v>
      </c>
    </row>
    <row r="83" spans="1:4" x14ac:dyDescent="0.25">
      <c r="A83" s="73">
        <v>46215</v>
      </c>
      <c r="B83" t="s">
        <v>244</v>
      </c>
      <c r="C83" t="s">
        <v>289</v>
      </c>
      <c r="D83" t="s">
        <v>291</v>
      </c>
    </row>
    <row r="84" spans="1:4" x14ac:dyDescent="0.25">
      <c r="A84" s="73">
        <v>46221</v>
      </c>
      <c r="B84" t="s">
        <v>227</v>
      </c>
      <c r="C84" t="s">
        <v>289</v>
      </c>
      <c r="D84" t="s">
        <v>291</v>
      </c>
    </row>
    <row r="85" spans="1:4" x14ac:dyDescent="0.25">
      <c r="A85" s="73">
        <v>46222</v>
      </c>
      <c r="B85" t="s">
        <v>227</v>
      </c>
      <c r="C85" t="s">
        <v>289</v>
      </c>
      <c r="D85" t="s">
        <v>291</v>
      </c>
    </row>
    <row r="86" spans="1:4" x14ac:dyDescent="0.25">
      <c r="A86" s="73">
        <v>46228</v>
      </c>
      <c r="B86" t="s">
        <v>244</v>
      </c>
      <c r="C86" t="s">
        <v>289</v>
      </c>
      <c r="D86" t="s">
        <v>291</v>
      </c>
    </row>
    <row r="87" spans="1:4" x14ac:dyDescent="0.25">
      <c r="A87" s="73">
        <v>46229</v>
      </c>
      <c r="B87" t="s">
        <v>244</v>
      </c>
      <c r="C87" t="s">
        <v>289</v>
      </c>
      <c r="D87" t="s">
        <v>291</v>
      </c>
    </row>
    <row r="88" spans="1:4" x14ac:dyDescent="0.25">
      <c r="A88" s="73">
        <v>46235</v>
      </c>
      <c r="B88" t="s">
        <v>227</v>
      </c>
      <c r="C88" t="s">
        <v>289</v>
      </c>
      <c r="D88" t="s">
        <v>291</v>
      </c>
    </row>
    <row r="89" spans="1:4" x14ac:dyDescent="0.25">
      <c r="A89" s="73">
        <v>46236</v>
      </c>
      <c r="B89" t="s">
        <v>227</v>
      </c>
      <c r="C89" t="s">
        <v>289</v>
      </c>
      <c r="D89" t="s">
        <v>291</v>
      </c>
    </row>
    <row r="90" spans="1:4" x14ac:dyDescent="0.25">
      <c r="A90" s="73">
        <v>46242</v>
      </c>
      <c r="B90" t="s">
        <v>244</v>
      </c>
      <c r="C90" t="s">
        <v>289</v>
      </c>
      <c r="D90" t="s">
        <v>291</v>
      </c>
    </row>
    <row r="91" spans="1:4" x14ac:dyDescent="0.25">
      <c r="A91" s="73">
        <v>46243</v>
      </c>
      <c r="B91" t="s">
        <v>244</v>
      </c>
      <c r="C91" t="s">
        <v>289</v>
      </c>
      <c r="D91" t="s">
        <v>291</v>
      </c>
    </row>
    <row r="92" spans="1:4" x14ac:dyDescent="0.25">
      <c r="A92" s="73">
        <v>46249</v>
      </c>
      <c r="B92" t="s">
        <v>227</v>
      </c>
      <c r="C92" t="s">
        <v>289</v>
      </c>
      <c r="D92" t="s">
        <v>291</v>
      </c>
    </row>
    <row r="93" spans="1:4" x14ac:dyDescent="0.25">
      <c r="A93" s="73">
        <v>46250</v>
      </c>
      <c r="B93" t="s">
        <v>227</v>
      </c>
      <c r="C93" t="s">
        <v>289</v>
      </c>
      <c r="D93" t="s">
        <v>291</v>
      </c>
    </row>
    <row r="94" spans="1:4" x14ac:dyDescent="0.25">
      <c r="A94" s="73">
        <v>46256</v>
      </c>
      <c r="B94" t="s">
        <v>244</v>
      </c>
      <c r="C94" t="s">
        <v>289</v>
      </c>
      <c r="D94" t="s">
        <v>291</v>
      </c>
    </row>
    <row r="95" spans="1:4" x14ac:dyDescent="0.25">
      <c r="A95" s="73">
        <v>46257</v>
      </c>
      <c r="B95" t="s">
        <v>244</v>
      </c>
      <c r="C95" t="s">
        <v>289</v>
      </c>
      <c r="D95" t="s">
        <v>291</v>
      </c>
    </row>
    <row r="96" spans="1:4" x14ac:dyDescent="0.25">
      <c r="A96" s="73">
        <v>46263</v>
      </c>
      <c r="B96" t="s">
        <v>227</v>
      </c>
      <c r="C96" t="s">
        <v>289</v>
      </c>
      <c r="D96" t="s">
        <v>291</v>
      </c>
    </row>
    <row r="97" spans="1:4" x14ac:dyDescent="0.25">
      <c r="A97" s="73">
        <v>46264</v>
      </c>
      <c r="B97" t="s">
        <v>227</v>
      </c>
      <c r="C97" t="s">
        <v>289</v>
      </c>
      <c r="D97" t="s">
        <v>291</v>
      </c>
    </row>
    <row r="98" spans="1:4" x14ac:dyDescent="0.25">
      <c r="A98" s="73">
        <v>46270</v>
      </c>
      <c r="B98" t="s">
        <v>244</v>
      </c>
      <c r="C98" t="s">
        <v>289</v>
      </c>
      <c r="D98" t="s">
        <v>291</v>
      </c>
    </row>
    <row r="99" spans="1:4" x14ac:dyDescent="0.25">
      <c r="A99" s="73">
        <v>46271</v>
      </c>
      <c r="B99" t="s">
        <v>244</v>
      </c>
      <c r="C99" t="s">
        <v>289</v>
      </c>
      <c r="D99" t="s">
        <v>291</v>
      </c>
    </row>
    <row r="100" spans="1:4" x14ac:dyDescent="0.25">
      <c r="A100" s="73">
        <v>46277</v>
      </c>
      <c r="B100" t="s">
        <v>227</v>
      </c>
      <c r="C100" t="s">
        <v>289</v>
      </c>
      <c r="D100" t="s">
        <v>291</v>
      </c>
    </row>
    <row r="101" spans="1:4" x14ac:dyDescent="0.25">
      <c r="A101" s="73">
        <v>46278</v>
      </c>
      <c r="B101" t="s">
        <v>227</v>
      </c>
      <c r="C101" t="s">
        <v>289</v>
      </c>
      <c r="D101" t="s">
        <v>291</v>
      </c>
    </row>
    <row r="102" spans="1:4" x14ac:dyDescent="0.25">
      <c r="A102" s="73">
        <v>46284</v>
      </c>
      <c r="B102" t="s">
        <v>244</v>
      </c>
      <c r="C102" t="s">
        <v>289</v>
      </c>
      <c r="D102" t="s">
        <v>291</v>
      </c>
    </row>
    <row r="103" spans="1:4" x14ac:dyDescent="0.25">
      <c r="A103" s="73">
        <v>46285</v>
      </c>
      <c r="B103" t="s">
        <v>244</v>
      </c>
      <c r="C103" t="s">
        <v>289</v>
      </c>
      <c r="D103" t="s">
        <v>291</v>
      </c>
    </row>
    <row r="104" spans="1:4" x14ac:dyDescent="0.25">
      <c r="A104" s="73">
        <v>46286</v>
      </c>
      <c r="B104" t="s">
        <v>244</v>
      </c>
      <c r="C104" t="s">
        <v>290</v>
      </c>
      <c r="D104" t="s">
        <v>291</v>
      </c>
    </row>
    <row r="105" spans="1:4" x14ac:dyDescent="0.25">
      <c r="A105" s="73">
        <v>46291</v>
      </c>
      <c r="B105" t="s">
        <v>227</v>
      </c>
      <c r="C105" t="s">
        <v>289</v>
      </c>
      <c r="D105" t="s">
        <v>291</v>
      </c>
    </row>
    <row r="106" spans="1:4" x14ac:dyDescent="0.25">
      <c r="A106" s="73">
        <v>46292</v>
      </c>
      <c r="B106" t="s">
        <v>227</v>
      </c>
      <c r="C106" t="s">
        <v>289</v>
      </c>
      <c r="D106" t="s">
        <v>291</v>
      </c>
    </row>
    <row r="107" spans="1:4" x14ac:dyDescent="0.25">
      <c r="A107" s="73">
        <v>46298</v>
      </c>
      <c r="B107" t="s">
        <v>244</v>
      </c>
      <c r="C107" t="s">
        <v>289</v>
      </c>
      <c r="D107" t="s">
        <v>291</v>
      </c>
    </row>
    <row r="108" spans="1:4" x14ac:dyDescent="0.25">
      <c r="A108" s="73">
        <v>46299</v>
      </c>
      <c r="B108" t="s">
        <v>244</v>
      </c>
      <c r="C108" t="s">
        <v>289</v>
      </c>
      <c r="D108" t="s">
        <v>291</v>
      </c>
    </row>
    <row r="109" spans="1:4" x14ac:dyDescent="0.25">
      <c r="A109" s="73">
        <v>46305</v>
      </c>
      <c r="B109" t="s">
        <v>227</v>
      </c>
      <c r="C109" t="s">
        <v>289</v>
      </c>
      <c r="D109" t="s">
        <v>291</v>
      </c>
    </row>
    <row r="110" spans="1:4" x14ac:dyDescent="0.25">
      <c r="A110" s="73">
        <v>46306</v>
      </c>
      <c r="B110" t="s">
        <v>227</v>
      </c>
      <c r="C110" t="s">
        <v>289</v>
      </c>
      <c r="D110" t="s">
        <v>291</v>
      </c>
    </row>
    <row r="111" spans="1:4" x14ac:dyDescent="0.25">
      <c r="A111" s="73">
        <v>46312</v>
      </c>
      <c r="B111" t="s">
        <v>244</v>
      </c>
      <c r="C111" t="s">
        <v>289</v>
      </c>
      <c r="D111" t="s">
        <v>291</v>
      </c>
    </row>
    <row r="112" spans="1:4" x14ac:dyDescent="0.25">
      <c r="A112" s="73">
        <v>46313</v>
      </c>
      <c r="B112" t="s">
        <v>244</v>
      </c>
      <c r="C112" t="s">
        <v>289</v>
      </c>
      <c r="D112" t="s">
        <v>291</v>
      </c>
    </row>
    <row r="113" spans="1:4" x14ac:dyDescent="0.25">
      <c r="A113" s="73">
        <v>46319</v>
      </c>
      <c r="B113" t="s">
        <v>227</v>
      </c>
      <c r="C113" t="s">
        <v>289</v>
      </c>
      <c r="D113" t="s">
        <v>291</v>
      </c>
    </row>
    <row r="114" spans="1:4" x14ac:dyDescent="0.25">
      <c r="A114" s="73">
        <v>46320</v>
      </c>
      <c r="B114" t="s">
        <v>227</v>
      </c>
      <c r="C114" t="s">
        <v>289</v>
      </c>
      <c r="D114" t="s">
        <v>291</v>
      </c>
    </row>
    <row r="115" spans="1:4" x14ac:dyDescent="0.25">
      <c r="A115" s="73">
        <v>46326</v>
      </c>
      <c r="B115" t="s">
        <v>244</v>
      </c>
      <c r="C115" t="s">
        <v>289</v>
      </c>
      <c r="D115" t="s">
        <v>291</v>
      </c>
    </row>
    <row r="116" spans="1:4" x14ac:dyDescent="0.25">
      <c r="A116" s="73">
        <v>46327</v>
      </c>
      <c r="B116" t="s">
        <v>244</v>
      </c>
      <c r="C116" t="s">
        <v>289</v>
      </c>
      <c r="D116" t="s">
        <v>291</v>
      </c>
    </row>
    <row r="117" spans="1:4" x14ac:dyDescent="0.25">
      <c r="A117" s="73">
        <v>46333</v>
      </c>
      <c r="B117" t="s">
        <v>227</v>
      </c>
      <c r="C117" t="s">
        <v>289</v>
      </c>
      <c r="D117" t="s">
        <v>291</v>
      </c>
    </row>
    <row r="118" spans="1:4" x14ac:dyDescent="0.25">
      <c r="A118" s="73">
        <v>46334</v>
      </c>
      <c r="B118" t="s">
        <v>227</v>
      </c>
      <c r="C118" t="s">
        <v>289</v>
      </c>
      <c r="D118" t="s">
        <v>291</v>
      </c>
    </row>
    <row r="119" spans="1:4" x14ac:dyDescent="0.25">
      <c r="A119" s="73">
        <v>46340</v>
      </c>
      <c r="B119" t="s">
        <v>244</v>
      </c>
      <c r="C119" t="s">
        <v>289</v>
      </c>
      <c r="D119" t="s">
        <v>291</v>
      </c>
    </row>
    <row r="120" spans="1:4" x14ac:dyDescent="0.25">
      <c r="A120" s="73">
        <v>46341</v>
      </c>
      <c r="B120" t="s">
        <v>244</v>
      </c>
      <c r="C120" t="s">
        <v>289</v>
      </c>
      <c r="D120" t="s">
        <v>291</v>
      </c>
    </row>
    <row r="121" spans="1:4" x14ac:dyDescent="0.25">
      <c r="A121" s="73">
        <v>46347</v>
      </c>
      <c r="B121" t="s">
        <v>227</v>
      </c>
      <c r="C121" t="s">
        <v>289</v>
      </c>
      <c r="D121" t="s">
        <v>291</v>
      </c>
    </row>
    <row r="122" spans="1:4" x14ac:dyDescent="0.25">
      <c r="A122" s="73">
        <v>46348</v>
      </c>
      <c r="B122" t="s">
        <v>227</v>
      </c>
      <c r="C122" t="s">
        <v>289</v>
      </c>
      <c r="D122" t="s">
        <v>291</v>
      </c>
    </row>
    <row r="123" spans="1:4" x14ac:dyDescent="0.25">
      <c r="A123" s="73">
        <v>46354</v>
      </c>
      <c r="B123" t="s">
        <v>244</v>
      </c>
      <c r="C123" t="s">
        <v>289</v>
      </c>
      <c r="D123" t="s">
        <v>291</v>
      </c>
    </row>
    <row r="124" spans="1:4" x14ac:dyDescent="0.25">
      <c r="A124" s="73">
        <v>46355</v>
      </c>
      <c r="B124" t="s">
        <v>244</v>
      </c>
      <c r="C124" t="s">
        <v>289</v>
      </c>
      <c r="D124" t="s">
        <v>291</v>
      </c>
    </row>
    <row r="125" spans="1:4" x14ac:dyDescent="0.25">
      <c r="A125" s="73">
        <v>46361</v>
      </c>
      <c r="B125" t="s">
        <v>227</v>
      </c>
      <c r="C125" t="s">
        <v>289</v>
      </c>
      <c r="D125" t="s">
        <v>291</v>
      </c>
    </row>
    <row r="126" spans="1:4" x14ac:dyDescent="0.25">
      <c r="A126" s="73">
        <v>46362</v>
      </c>
      <c r="B126" t="s">
        <v>227</v>
      </c>
      <c r="C126" t="s">
        <v>289</v>
      </c>
      <c r="D126" t="s">
        <v>291</v>
      </c>
    </row>
    <row r="127" spans="1:4" x14ac:dyDescent="0.25">
      <c r="A127" s="73">
        <v>46368</v>
      </c>
      <c r="B127" t="s">
        <v>244</v>
      </c>
      <c r="C127" t="s">
        <v>289</v>
      </c>
      <c r="D127" t="s">
        <v>291</v>
      </c>
    </row>
    <row r="128" spans="1:4" x14ac:dyDescent="0.25">
      <c r="A128" s="73">
        <v>46369</v>
      </c>
      <c r="B128" t="s">
        <v>244</v>
      </c>
      <c r="C128" t="s">
        <v>289</v>
      </c>
      <c r="D128" t="s">
        <v>291</v>
      </c>
    </row>
    <row r="129" spans="1:4" x14ac:dyDescent="0.25">
      <c r="A129" s="73">
        <v>46375</v>
      </c>
      <c r="B129" t="s">
        <v>227</v>
      </c>
      <c r="C129" t="s">
        <v>289</v>
      </c>
      <c r="D129" t="s">
        <v>291</v>
      </c>
    </row>
    <row r="130" spans="1:4" x14ac:dyDescent="0.25">
      <c r="A130" s="73">
        <v>46376</v>
      </c>
      <c r="B130" t="s">
        <v>227</v>
      </c>
      <c r="C130" t="s">
        <v>289</v>
      </c>
      <c r="D130" t="s">
        <v>291</v>
      </c>
    </row>
    <row r="131" spans="1:4" x14ac:dyDescent="0.25">
      <c r="A131" s="73">
        <v>46379</v>
      </c>
      <c r="B131" t="s">
        <v>244</v>
      </c>
      <c r="C131" t="s">
        <v>290</v>
      </c>
      <c r="D131" t="s">
        <v>291</v>
      </c>
    </row>
    <row r="132" spans="1:4" x14ac:dyDescent="0.25">
      <c r="A132" s="73">
        <v>46380</v>
      </c>
      <c r="B132" t="s">
        <v>244</v>
      </c>
      <c r="C132" t="s">
        <v>290</v>
      </c>
      <c r="D132" t="s">
        <v>291</v>
      </c>
    </row>
    <row r="133" spans="1:4" x14ac:dyDescent="0.25">
      <c r="A133" s="73">
        <v>46381</v>
      </c>
      <c r="B133" t="s">
        <v>244</v>
      </c>
      <c r="C133" t="s">
        <v>290</v>
      </c>
      <c r="D133" t="s">
        <v>291</v>
      </c>
    </row>
    <row r="134" spans="1:4" x14ac:dyDescent="0.25">
      <c r="A134" s="73">
        <v>46382</v>
      </c>
      <c r="B134" t="s">
        <v>244</v>
      </c>
      <c r="C134" t="s">
        <v>289</v>
      </c>
      <c r="D134" t="s">
        <v>291</v>
      </c>
    </row>
    <row r="135" spans="1:4" x14ac:dyDescent="0.25">
      <c r="A135" s="73">
        <v>46383</v>
      </c>
      <c r="B135" t="s">
        <v>244</v>
      </c>
      <c r="C135" t="s">
        <v>289</v>
      </c>
      <c r="D135" t="s">
        <v>291</v>
      </c>
    </row>
    <row r="136" spans="1:4" x14ac:dyDescent="0.25">
      <c r="A136" s="73">
        <v>46384</v>
      </c>
      <c r="B136" t="s">
        <v>244</v>
      </c>
      <c r="C136" t="s">
        <v>290</v>
      </c>
      <c r="D136" t="s">
        <v>291</v>
      </c>
    </row>
    <row r="137" spans="1:4" x14ac:dyDescent="0.25">
      <c r="A137" s="73">
        <v>46385</v>
      </c>
      <c r="B137" t="s">
        <v>227</v>
      </c>
      <c r="C137" t="s">
        <v>290</v>
      </c>
      <c r="D137" t="s">
        <v>291</v>
      </c>
    </row>
    <row r="138" spans="1:4" x14ac:dyDescent="0.25">
      <c r="A138" s="73">
        <v>46386</v>
      </c>
      <c r="B138" t="s">
        <v>227</v>
      </c>
      <c r="C138" t="s">
        <v>290</v>
      </c>
      <c r="D138" t="s">
        <v>291</v>
      </c>
    </row>
    <row r="139" spans="1:4" x14ac:dyDescent="0.25">
      <c r="A139" s="73">
        <v>46387</v>
      </c>
      <c r="B139" t="s">
        <v>227</v>
      </c>
      <c r="C139" t="s">
        <v>290</v>
      </c>
      <c r="D139" t="s">
        <v>291</v>
      </c>
    </row>
    <row r="140" spans="1:4" x14ac:dyDescent="0.25">
      <c r="A140" s="73"/>
    </row>
    <row r="141" spans="1:4" x14ac:dyDescent="0.25">
      <c r="A141" s="73"/>
    </row>
    <row r="142" spans="1:4" x14ac:dyDescent="0.25">
      <c r="A142" s="73"/>
    </row>
    <row r="143" spans="1:4" x14ac:dyDescent="0.25">
      <c r="A143" s="73"/>
    </row>
    <row r="144" spans="1:4" x14ac:dyDescent="0.25">
      <c r="A144" s="73"/>
    </row>
    <row r="145" spans="1:1" x14ac:dyDescent="0.25">
      <c r="A145" s="73"/>
    </row>
    <row r="146" spans="1:1" x14ac:dyDescent="0.25">
      <c r="A146" s="73"/>
    </row>
    <row r="147" spans="1:1" x14ac:dyDescent="0.25">
      <c r="A147" s="73"/>
    </row>
    <row r="148" spans="1:1" x14ac:dyDescent="0.25">
      <c r="A148" s="73"/>
    </row>
    <row r="149" spans="1:1" x14ac:dyDescent="0.25">
      <c r="A149" s="73"/>
    </row>
    <row r="150" spans="1:1" x14ac:dyDescent="0.25">
      <c r="A150" s="73"/>
    </row>
    <row r="151" spans="1:1" x14ac:dyDescent="0.25">
      <c r="A151" s="73"/>
    </row>
    <row r="152" spans="1:1" x14ac:dyDescent="0.25">
      <c r="A152" s="73"/>
    </row>
    <row r="153" spans="1:1" x14ac:dyDescent="0.25">
      <c r="A153" s="73"/>
    </row>
    <row r="154" spans="1:1" x14ac:dyDescent="0.25">
      <c r="A154" s="73"/>
    </row>
    <row r="155" spans="1:1" x14ac:dyDescent="0.25">
      <c r="A155" s="73"/>
    </row>
    <row r="156" spans="1:1" x14ac:dyDescent="0.25">
      <c r="A156" s="73"/>
    </row>
    <row r="157" spans="1:1" x14ac:dyDescent="0.25">
      <c r="A157" s="73"/>
    </row>
    <row r="158" spans="1:1" x14ac:dyDescent="0.25">
      <c r="A158" s="73"/>
    </row>
    <row r="159" spans="1:1" x14ac:dyDescent="0.25">
      <c r="A159" s="73"/>
    </row>
    <row r="160" spans="1:1" x14ac:dyDescent="0.25">
      <c r="A160" s="73"/>
    </row>
    <row r="161" spans="1:1" x14ac:dyDescent="0.25">
      <c r="A161" s="73"/>
    </row>
    <row r="162" spans="1:1" x14ac:dyDescent="0.25">
      <c r="A162" s="73"/>
    </row>
    <row r="163" spans="1:1" x14ac:dyDescent="0.25">
      <c r="A163" s="73"/>
    </row>
    <row r="164" spans="1:1" x14ac:dyDescent="0.25">
      <c r="A164" s="73"/>
    </row>
    <row r="165" spans="1:1" x14ac:dyDescent="0.25">
      <c r="A165" s="73"/>
    </row>
    <row r="166" spans="1:1" x14ac:dyDescent="0.25">
      <c r="A166" s="73"/>
    </row>
    <row r="167" spans="1:1" x14ac:dyDescent="0.25">
      <c r="A167" s="73"/>
    </row>
    <row r="168" spans="1:1" x14ac:dyDescent="0.25">
      <c r="A168" s="73"/>
    </row>
    <row r="169" spans="1:1" x14ac:dyDescent="0.25">
      <c r="A169" s="73"/>
    </row>
    <row r="170" spans="1:1" x14ac:dyDescent="0.25">
      <c r="A170" s="73"/>
    </row>
    <row r="171" spans="1:1" x14ac:dyDescent="0.25">
      <c r="A171" s="73"/>
    </row>
    <row r="172" spans="1:1" x14ac:dyDescent="0.25">
      <c r="A172" s="73"/>
    </row>
    <row r="173" spans="1:1" x14ac:dyDescent="0.25">
      <c r="A173" s="73"/>
    </row>
    <row r="174" spans="1:1" x14ac:dyDescent="0.25">
      <c r="A174" s="73"/>
    </row>
    <row r="175" spans="1:1" x14ac:dyDescent="0.25">
      <c r="A175" s="73"/>
    </row>
    <row r="176" spans="1:1" x14ac:dyDescent="0.25">
      <c r="A176" s="73"/>
    </row>
    <row r="177" spans="1:1" x14ac:dyDescent="0.25">
      <c r="A177" s="73"/>
    </row>
    <row r="178" spans="1:1" x14ac:dyDescent="0.25">
      <c r="A178" s="73"/>
    </row>
    <row r="179" spans="1:1" x14ac:dyDescent="0.25">
      <c r="A179" s="73"/>
    </row>
    <row r="180" spans="1:1" x14ac:dyDescent="0.25">
      <c r="A180" s="73"/>
    </row>
    <row r="181" spans="1:1" x14ac:dyDescent="0.25">
      <c r="A181" s="73"/>
    </row>
    <row r="182" spans="1:1" x14ac:dyDescent="0.25">
      <c r="A182" s="73"/>
    </row>
    <row r="183" spans="1:1" x14ac:dyDescent="0.25">
      <c r="A183" s="73"/>
    </row>
    <row r="184" spans="1:1" x14ac:dyDescent="0.25">
      <c r="A184" s="73"/>
    </row>
    <row r="185" spans="1:1" x14ac:dyDescent="0.25">
      <c r="A185" s="73"/>
    </row>
    <row r="186" spans="1:1" x14ac:dyDescent="0.25">
      <c r="A186" s="73"/>
    </row>
    <row r="187" spans="1:1" x14ac:dyDescent="0.25">
      <c r="A187" s="73"/>
    </row>
    <row r="188" spans="1:1" x14ac:dyDescent="0.25">
      <c r="A188" s="73"/>
    </row>
    <row r="189" spans="1:1" x14ac:dyDescent="0.25">
      <c r="A189" s="73"/>
    </row>
    <row r="190" spans="1:1" x14ac:dyDescent="0.25">
      <c r="A190" s="73"/>
    </row>
    <row r="191" spans="1:1" x14ac:dyDescent="0.25">
      <c r="A191" s="73"/>
    </row>
    <row r="192" spans="1:1" x14ac:dyDescent="0.25">
      <c r="A192" s="73"/>
    </row>
    <row r="193" spans="1:1" x14ac:dyDescent="0.25">
      <c r="A193" s="73"/>
    </row>
    <row r="194" spans="1:1" x14ac:dyDescent="0.25">
      <c r="A194" s="73"/>
    </row>
    <row r="195" spans="1:1" x14ac:dyDescent="0.25">
      <c r="A195" s="73"/>
    </row>
    <row r="196" spans="1:1" x14ac:dyDescent="0.25">
      <c r="A196" s="73"/>
    </row>
    <row r="197" spans="1:1" x14ac:dyDescent="0.25">
      <c r="A197" s="73"/>
    </row>
    <row r="198" spans="1:1" x14ac:dyDescent="0.25">
      <c r="A198" s="73"/>
    </row>
    <row r="199" spans="1:1" x14ac:dyDescent="0.25">
      <c r="A199" s="73"/>
    </row>
    <row r="200" spans="1:1" x14ac:dyDescent="0.25">
      <c r="A200" s="73"/>
    </row>
    <row r="201" spans="1:1" x14ac:dyDescent="0.25">
      <c r="A201" s="73"/>
    </row>
    <row r="202" spans="1:1" x14ac:dyDescent="0.25">
      <c r="A202" s="73"/>
    </row>
    <row r="203" spans="1:1" x14ac:dyDescent="0.25">
      <c r="A203" s="73"/>
    </row>
    <row r="204" spans="1:1" x14ac:dyDescent="0.25">
      <c r="A204" s="73"/>
    </row>
    <row r="205" spans="1:1" x14ac:dyDescent="0.25">
      <c r="A205" s="73"/>
    </row>
    <row r="206" spans="1:1" x14ac:dyDescent="0.25">
      <c r="A206" s="73"/>
    </row>
    <row r="207" spans="1:1" x14ac:dyDescent="0.25">
      <c r="A207" s="73"/>
    </row>
    <row r="208" spans="1:1" x14ac:dyDescent="0.25">
      <c r="A208" s="73"/>
    </row>
    <row r="209" spans="1:1" x14ac:dyDescent="0.25">
      <c r="A209" s="73"/>
    </row>
    <row r="210" spans="1:1" x14ac:dyDescent="0.25">
      <c r="A210" s="73"/>
    </row>
    <row r="211" spans="1:1" x14ac:dyDescent="0.25">
      <c r="A211" s="73"/>
    </row>
    <row r="212" spans="1:1" x14ac:dyDescent="0.25">
      <c r="A212" s="73"/>
    </row>
    <row r="213" spans="1:1" x14ac:dyDescent="0.25">
      <c r="A213" s="73"/>
    </row>
    <row r="214" spans="1:1" x14ac:dyDescent="0.25">
      <c r="A214" s="73"/>
    </row>
    <row r="215" spans="1:1" x14ac:dyDescent="0.25">
      <c r="A215" s="73"/>
    </row>
    <row r="216" spans="1:1" x14ac:dyDescent="0.25">
      <c r="A216" s="73"/>
    </row>
    <row r="217" spans="1:1" x14ac:dyDescent="0.25">
      <c r="A217" s="73"/>
    </row>
    <row r="218" spans="1:1" x14ac:dyDescent="0.25">
      <c r="A218" s="73"/>
    </row>
    <row r="219" spans="1:1" x14ac:dyDescent="0.25">
      <c r="A219" s="73"/>
    </row>
    <row r="220" spans="1:1" x14ac:dyDescent="0.25">
      <c r="A220" s="73"/>
    </row>
    <row r="221" spans="1:1" x14ac:dyDescent="0.25">
      <c r="A221" s="73"/>
    </row>
    <row r="222" spans="1:1" x14ac:dyDescent="0.25">
      <c r="A222" s="73"/>
    </row>
    <row r="223" spans="1:1" x14ac:dyDescent="0.25">
      <c r="A223" s="73"/>
    </row>
    <row r="224" spans="1:1" x14ac:dyDescent="0.25">
      <c r="A224" s="73"/>
    </row>
    <row r="225" spans="1:1" x14ac:dyDescent="0.25">
      <c r="A225" s="73"/>
    </row>
    <row r="226" spans="1:1" x14ac:dyDescent="0.25">
      <c r="A226" s="73"/>
    </row>
    <row r="227" spans="1:1" x14ac:dyDescent="0.25">
      <c r="A227" s="73"/>
    </row>
    <row r="228" spans="1:1" x14ac:dyDescent="0.25">
      <c r="A228" s="73"/>
    </row>
    <row r="229" spans="1:1" x14ac:dyDescent="0.25">
      <c r="A229" s="73"/>
    </row>
    <row r="230" spans="1:1" x14ac:dyDescent="0.25">
      <c r="A230" s="73"/>
    </row>
    <row r="231" spans="1:1" x14ac:dyDescent="0.25">
      <c r="A231" s="73"/>
    </row>
    <row r="232" spans="1:1" x14ac:dyDescent="0.25">
      <c r="A232" s="73"/>
    </row>
    <row r="233" spans="1:1" x14ac:dyDescent="0.25">
      <c r="A233" s="73"/>
    </row>
    <row r="234" spans="1:1" x14ac:dyDescent="0.25">
      <c r="A234" s="73"/>
    </row>
    <row r="235" spans="1:1" x14ac:dyDescent="0.25">
      <c r="A235" s="73"/>
    </row>
    <row r="236" spans="1:1" x14ac:dyDescent="0.25">
      <c r="A236" s="73"/>
    </row>
    <row r="237" spans="1:1" x14ac:dyDescent="0.25">
      <c r="A237" s="73"/>
    </row>
    <row r="238" spans="1:1" x14ac:dyDescent="0.25">
      <c r="A238" s="73"/>
    </row>
    <row r="239" spans="1:1" x14ac:dyDescent="0.25">
      <c r="A239" s="73"/>
    </row>
    <row r="240" spans="1:1" x14ac:dyDescent="0.25">
      <c r="A240" s="73"/>
    </row>
    <row r="241" spans="1:1" x14ac:dyDescent="0.25">
      <c r="A241" s="73"/>
    </row>
    <row r="242" spans="1:1" x14ac:dyDescent="0.25">
      <c r="A242" s="73"/>
    </row>
    <row r="243" spans="1:1" x14ac:dyDescent="0.25">
      <c r="A243" s="73"/>
    </row>
    <row r="244" spans="1:1" x14ac:dyDescent="0.25">
      <c r="A244" s="73"/>
    </row>
    <row r="245" spans="1:1" x14ac:dyDescent="0.25">
      <c r="A245" s="73"/>
    </row>
    <row r="246" spans="1:1" x14ac:dyDescent="0.25">
      <c r="A246" s="73"/>
    </row>
    <row r="247" spans="1:1" x14ac:dyDescent="0.25">
      <c r="A247" s="73"/>
    </row>
    <row r="248" spans="1:1" x14ac:dyDescent="0.25">
      <c r="A248" s="73"/>
    </row>
    <row r="249" spans="1:1" x14ac:dyDescent="0.25">
      <c r="A249" s="73"/>
    </row>
    <row r="250" spans="1:1" x14ac:dyDescent="0.25">
      <c r="A250" s="73"/>
    </row>
    <row r="251" spans="1:1" x14ac:dyDescent="0.25">
      <c r="A251" s="73"/>
    </row>
    <row r="252" spans="1:1" x14ac:dyDescent="0.25">
      <c r="A252" s="73"/>
    </row>
    <row r="253" spans="1:1" x14ac:dyDescent="0.25">
      <c r="A253" s="73"/>
    </row>
    <row r="254" spans="1:1" x14ac:dyDescent="0.25">
      <c r="A254" s="73"/>
    </row>
    <row r="255" spans="1:1" x14ac:dyDescent="0.25">
      <c r="A255" s="73"/>
    </row>
    <row r="256" spans="1:1" x14ac:dyDescent="0.25">
      <c r="A256" s="73"/>
    </row>
    <row r="257" spans="1:1" x14ac:dyDescent="0.25">
      <c r="A257" s="73"/>
    </row>
    <row r="258" spans="1:1" x14ac:dyDescent="0.25">
      <c r="A258" s="73"/>
    </row>
    <row r="259" spans="1:1" x14ac:dyDescent="0.25">
      <c r="A259" s="73"/>
    </row>
    <row r="260" spans="1:1" x14ac:dyDescent="0.25">
      <c r="A260" s="73"/>
    </row>
    <row r="261" spans="1:1" x14ac:dyDescent="0.25">
      <c r="A261" s="73"/>
    </row>
    <row r="262" spans="1:1" x14ac:dyDescent="0.25">
      <c r="A262" s="73"/>
    </row>
    <row r="263" spans="1:1" x14ac:dyDescent="0.25">
      <c r="A263" s="73"/>
    </row>
    <row r="264" spans="1:1" x14ac:dyDescent="0.25">
      <c r="A264" s="73"/>
    </row>
    <row r="265" spans="1:1" x14ac:dyDescent="0.25">
      <c r="A265" s="73"/>
    </row>
    <row r="268" spans="1:1" x14ac:dyDescent="0.25">
      <c r="A268" s="73"/>
    </row>
    <row r="269" spans="1:1" x14ac:dyDescent="0.25">
      <c r="A269" s="73"/>
    </row>
    <row r="270" spans="1:1" x14ac:dyDescent="0.25">
      <c r="A270" s="73"/>
    </row>
    <row r="271" spans="1:1" x14ac:dyDescent="0.25">
      <c r="A271" s="73"/>
    </row>
    <row r="272" spans="1:1" x14ac:dyDescent="0.25">
      <c r="A272" s="73"/>
    </row>
    <row r="273" spans="1:1" x14ac:dyDescent="0.25">
      <c r="A273" s="73"/>
    </row>
    <row r="274" spans="1:1" x14ac:dyDescent="0.25">
      <c r="A274" s="73"/>
    </row>
    <row r="275" spans="1:1" x14ac:dyDescent="0.25">
      <c r="A275" s="73"/>
    </row>
    <row r="276" spans="1:1" x14ac:dyDescent="0.25">
      <c r="A276" s="73"/>
    </row>
    <row r="277" spans="1:1" x14ac:dyDescent="0.25">
      <c r="A277" s="73"/>
    </row>
    <row r="278" spans="1:1" x14ac:dyDescent="0.25">
      <c r="A278" s="73"/>
    </row>
    <row r="279" spans="1:1" x14ac:dyDescent="0.25">
      <c r="A279" s="73"/>
    </row>
    <row r="280" spans="1:1" x14ac:dyDescent="0.25">
      <c r="A280" s="73"/>
    </row>
    <row r="281" spans="1:1" x14ac:dyDescent="0.25">
      <c r="A281" s="73"/>
    </row>
    <row r="282" spans="1:1" x14ac:dyDescent="0.25">
      <c r="A282" s="73"/>
    </row>
    <row r="283" spans="1:1" x14ac:dyDescent="0.25">
      <c r="A283" s="73"/>
    </row>
    <row r="284" spans="1:1" x14ac:dyDescent="0.25">
      <c r="A284" s="73"/>
    </row>
    <row r="285" spans="1:1" x14ac:dyDescent="0.25">
      <c r="A285" s="73"/>
    </row>
    <row r="286" spans="1:1" x14ac:dyDescent="0.25">
      <c r="A286" s="73"/>
    </row>
    <row r="287" spans="1:1" x14ac:dyDescent="0.25">
      <c r="A287" s="73"/>
    </row>
    <row r="288" spans="1:1" x14ac:dyDescent="0.25">
      <c r="A288" s="73"/>
    </row>
    <row r="289" spans="1:1" x14ac:dyDescent="0.25">
      <c r="A289" s="73"/>
    </row>
    <row r="290" spans="1:1" x14ac:dyDescent="0.25">
      <c r="A290" s="73"/>
    </row>
    <row r="291" spans="1:1" x14ac:dyDescent="0.25">
      <c r="A291" s="73"/>
    </row>
    <row r="292" spans="1:1" x14ac:dyDescent="0.25">
      <c r="A292" s="73"/>
    </row>
    <row r="293" spans="1:1" x14ac:dyDescent="0.25">
      <c r="A293" s="73"/>
    </row>
    <row r="294" spans="1:1" x14ac:dyDescent="0.25">
      <c r="A294" s="73"/>
    </row>
    <row r="295" spans="1:1" x14ac:dyDescent="0.25">
      <c r="A295" s="73"/>
    </row>
    <row r="296" spans="1:1" x14ac:dyDescent="0.25">
      <c r="A296" s="73"/>
    </row>
    <row r="297" spans="1:1" x14ac:dyDescent="0.25">
      <c r="A297" s="73"/>
    </row>
    <row r="298" spans="1:1" x14ac:dyDescent="0.25">
      <c r="A298" s="73"/>
    </row>
    <row r="299" spans="1:1" x14ac:dyDescent="0.25">
      <c r="A299" s="73"/>
    </row>
    <row r="300" spans="1:1" x14ac:dyDescent="0.25">
      <c r="A300" s="73"/>
    </row>
    <row r="301" spans="1:1" x14ac:dyDescent="0.25">
      <c r="A301" s="73"/>
    </row>
    <row r="302" spans="1:1" x14ac:dyDescent="0.25">
      <c r="A302" s="73"/>
    </row>
    <row r="303" spans="1:1" x14ac:dyDescent="0.25">
      <c r="A303" s="73"/>
    </row>
    <row r="304" spans="1:1" x14ac:dyDescent="0.25">
      <c r="A304" s="73"/>
    </row>
    <row r="305" spans="1:1" x14ac:dyDescent="0.25">
      <c r="A305" s="73"/>
    </row>
    <row r="306" spans="1:1" x14ac:dyDescent="0.25">
      <c r="A306" s="73"/>
    </row>
    <row r="307" spans="1:1" x14ac:dyDescent="0.25">
      <c r="A307" s="73"/>
    </row>
    <row r="308" spans="1:1" x14ac:dyDescent="0.25">
      <c r="A308" s="73"/>
    </row>
    <row r="309" spans="1:1" x14ac:dyDescent="0.25">
      <c r="A309" s="73"/>
    </row>
    <row r="310" spans="1:1" x14ac:dyDescent="0.25">
      <c r="A310" s="73"/>
    </row>
    <row r="311" spans="1:1" x14ac:dyDescent="0.25">
      <c r="A311" s="73"/>
    </row>
    <row r="312" spans="1:1" x14ac:dyDescent="0.25">
      <c r="A312" s="73"/>
    </row>
    <row r="313" spans="1:1" x14ac:dyDescent="0.25">
      <c r="A313" s="73"/>
    </row>
    <row r="314" spans="1:1" x14ac:dyDescent="0.25">
      <c r="A314" s="73"/>
    </row>
    <row r="315" spans="1:1" x14ac:dyDescent="0.25">
      <c r="A315" s="73"/>
    </row>
    <row r="316" spans="1:1" x14ac:dyDescent="0.25">
      <c r="A316" s="73"/>
    </row>
    <row r="317" spans="1:1" x14ac:dyDescent="0.25">
      <c r="A317" s="73"/>
    </row>
    <row r="318" spans="1:1" x14ac:dyDescent="0.25">
      <c r="A318" s="73"/>
    </row>
    <row r="319" spans="1:1" x14ac:dyDescent="0.25">
      <c r="A319" s="73"/>
    </row>
    <row r="320" spans="1:1" x14ac:dyDescent="0.25">
      <c r="A320" s="73"/>
    </row>
    <row r="321" spans="1:1" x14ac:dyDescent="0.25">
      <c r="A321" s="73"/>
    </row>
    <row r="322" spans="1:1" x14ac:dyDescent="0.25">
      <c r="A322" s="73"/>
    </row>
    <row r="323" spans="1:1" x14ac:dyDescent="0.25">
      <c r="A323" s="73"/>
    </row>
    <row r="324" spans="1:1" x14ac:dyDescent="0.25">
      <c r="A324" s="73"/>
    </row>
    <row r="325" spans="1:1" x14ac:dyDescent="0.25">
      <c r="A325" s="73"/>
    </row>
    <row r="326" spans="1:1" x14ac:dyDescent="0.25">
      <c r="A326" s="73"/>
    </row>
    <row r="327" spans="1:1" x14ac:dyDescent="0.25">
      <c r="A327" s="73"/>
    </row>
    <row r="328" spans="1:1" x14ac:dyDescent="0.25">
      <c r="A328" s="73"/>
    </row>
    <row r="329" spans="1:1" x14ac:dyDescent="0.25">
      <c r="A329" s="73"/>
    </row>
    <row r="330" spans="1:1" x14ac:dyDescent="0.25">
      <c r="A330" s="73"/>
    </row>
    <row r="331" spans="1:1" x14ac:dyDescent="0.25">
      <c r="A331" s="73"/>
    </row>
    <row r="332" spans="1:1" x14ac:dyDescent="0.25">
      <c r="A332" s="73"/>
    </row>
    <row r="333" spans="1:1" x14ac:dyDescent="0.25">
      <c r="A333" s="73"/>
    </row>
    <row r="334" spans="1:1" x14ac:dyDescent="0.25">
      <c r="A334" s="73"/>
    </row>
    <row r="335" spans="1:1" x14ac:dyDescent="0.25">
      <c r="A335" s="73"/>
    </row>
    <row r="336" spans="1:1" x14ac:dyDescent="0.25">
      <c r="A336" s="73"/>
    </row>
    <row r="337" spans="1:1" x14ac:dyDescent="0.25">
      <c r="A337" s="73"/>
    </row>
    <row r="338" spans="1:1" x14ac:dyDescent="0.25">
      <c r="A338" s="73"/>
    </row>
    <row r="339" spans="1:1" x14ac:dyDescent="0.25">
      <c r="A339" s="73"/>
    </row>
    <row r="340" spans="1:1" x14ac:dyDescent="0.25">
      <c r="A340" s="73"/>
    </row>
    <row r="341" spans="1:1" x14ac:dyDescent="0.25">
      <c r="A341" s="73"/>
    </row>
    <row r="342" spans="1:1" x14ac:dyDescent="0.25">
      <c r="A342" s="73"/>
    </row>
    <row r="343" spans="1:1" x14ac:dyDescent="0.25">
      <c r="A343" s="73"/>
    </row>
    <row r="344" spans="1:1" x14ac:dyDescent="0.25">
      <c r="A344" s="73"/>
    </row>
    <row r="345" spans="1:1" x14ac:dyDescent="0.25">
      <c r="A345" s="73"/>
    </row>
    <row r="346" spans="1:1" x14ac:dyDescent="0.25">
      <c r="A346" s="73"/>
    </row>
    <row r="347" spans="1:1" x14ac:dyDescent="0.25">
      <c r="A347" s="73"/>
    </row>
    <row r="348" spans="1:1" x14ac:dyDescent="0.25">
      <c r="A348" s="73"/>
    </row>
    <row r="349" spans="1:1" x14ac:dyDescent="0.25">
      <c r="A349" s="73"/>
    </row>
    <row r="350" spans="1:1" x14ac:dyDescent="0.25">
      <c r="A350" s="73"/>
    </row>
    <row r="351" spans="1:1" x14ac:dyDescent="0.25">
      <c r="A351" s="73"/>
    </row>
    <row r="352" spans="1:1" x14ac:dyDescent="0.25">
      <c r="A352" s="73"/>
    </row>
    <row r="353" spans="1:1" x14ac:dyDescent="0.25">
      <c r="A353" s="73"/>
    </row>
    <row r="354" spans="1:1" x14ac:dyDescent="0.25">
      <c r="A354" s="73"/>
    </row>
    <row r="355" spans="1:1" x14ac:dyDescent="0.25">
      <c r="A355" s="73"/>
    </row>
    <row r="356" spans="1:1" x14ac:dyDescent="0.25">
      <c r="A356" s="73"/>
    </row>
    <row r="357" spans="1:1" x14ac:dyDescent="0.25">
      <c r="A357" s="73"/>
    </row>
    <row r="358" spans="1:1" x14ac:dyDescent="0.25">
      <c r="A358" s="73"/>
    </row>
    <row r="359" spans="1:1" x14ac:dyDescent="0.25">
      <c r="A359" s="73"/>
    </row>
    <row r="360" spans="1:1" x14ac:dyDescent="0.25">
      <c r="A360" s="73"/>
    </row>
    <row r="361" spans="1:1" x14ac:dyDescent="0.25">
      <c r="A361" s="73"/>
    </row>
    <row r="362" spans="1:1" x14ac:dyDescent="0.25">
      <c r="A362" s="73"/>
    </row>
    <row r="363" spans="1:1" x14ac:dyDescent="0.25">
      <c r="A363" s="73"/>
    </row>
    <row r="364" spans="1:1" x14ac:dyDescent="0.25">
      <c r="A364" s="73"/>
    </row>
    <row r="365" spans="1:1" x14ac:dyDescent="0.25">
      <c r="A365" s="73"/>
    </row>
    <row r="366" spans="1:1" x14ac:dyDescent="0.25">
      <c r="A366" s="73"/>
    </row>
    <row r="367" spans="1:1" x14ac:dyDescent="0.25">
      <c r="A367" s="73"/>
    </row>
    <row r="368" spans="1:1" x14ac:dyDescent="0.25">
      <c r="A368" s="73"/>
    </row>
    <row r="369" spans="1:1" x14ac:dyDescent="0.25">
      <c r="A369" s="73"/>
    </row>
    <row r="370" spans="1:1" x14ac:dyDescent="0.25">
      <c r="A370" s="73"/>
    </row>
    <row r="371" spans="1:1" x14ac:dyDescent="0.25">
      <c r="A371" s="73"/>
    </row>
    <row r="372" spans="1:1" x14ac:dyDescent="0.25">
      <c r="A372" s="73"/>
    </row>
    <row r="373" spans="1:1" x14ac:dyDescent="0.25">
      <c r="A373" s="73"/>
    </row>
    <row r="374" spans="1:1" x14ac:dyDescent="0.25">
      <c r="A374" s="73"/>
    </row>
    <row r="375" spans="1:1" x14ac:dyDescent="0.25">
      <c r="A375" s="73"/>
    </row>
    <row r="376" spans="1:1" x14ac:dyDescent="0.25">
      <c r="A376" s="73"/>
    </row>
    <row r="377" spans="1:1" x14ac:dyDescent="0.25">
      <c r="A377" s="73"/>
    </row>
    <row r="378" spans="1:1" x14ac:dyDescent="0.25">
      <c r="A378" s="73"/>
    </row>
    <row r="379" spans="1:1" x14ac:dyDescent="0.25">
      <c r="A379" s="73"/>
    </row>
    <row r="380" spans="1:1" x14ac:dyDescent="0.25">
      <c r="A380" s="73"/>
    </row>
    <row r="381" spans="1:1" x14ac:dyDescent="0.25">
      <c r="A381" s="73"/>
    </row>
    <row r="382" spans="1:1" x14ac:dyDescent="0.25">
      <c r="A382" s="73"/>
    </row>
    <row r="383" spans="1:1" x14ac:dyDescent="0.25">
      <c r="A383" s="73"/>
    </row>
    <row r="384" spans="1:1" x14ac:dyDescent="0.25">
      <c r="A384" s="73"/>
    </row>
    <row r="385" spans="1:1" x14ac:dyDescent="0.25">
      <c r="A385" s="73"/>
    </row>
    <row r="386" spans="1:1" x14ac:dyDescent="0.25">
      <c r="A386" s="73"/>
    </row>
    <row r="387" spans="1:1" x14ac:dyDescent="0.25">
      <c r="A387" s="73"/>
    </row>
    <row r="388" spans="1:1" x14ac:dyDescent="0.25">
      <c r="A388" s="73"/>
    </row>
    <row r="389" spans="1:1" x14ac:dyDescent="0.25">
      <c r="A389" s="73"/>
    </row>
    <row r="390" spans="1:1" x14ac:dyDescent="0.25">
      <c r="A390" s="73"/>
    </row>
    <row r="391" spans="1:1" x14ac:dyDescent="0.25">
      <c r="A391" s="73"/>
    </row>
    <row r="392" spans="1:1" x14ac:dyDescent="0.25">
      <c r="A392" s="73"/>
    </row>
    <row r="393" spans="1:1" x14ac:dyDescent="0.25">
      <c r="A393" s="73"/>
    </row>
    <row r="394" spans="1:1" x14ac:dyDescent="0.25">
      <c r="A394" s="73"/>
    </row>
    <row r="395" spans="1:1" x14ac:dyDescent="0.25">
      <c r="A395" s="73"/>
    </row>
    <row r="396" spans="1:1" x14ac:dyDescent="0.25">
      <c r="A396" s="73"/>
    </row>
    <row r="397" spans="1:1" x14ac:dyDescent="0.25">
      <c r="A397" s="73"/>
    </row>
    <row r="398" spans="1:1" x14ac:dyDescent="0.25">
      <c r="A398" s="73"/>
    </row>
    <row r="399" spans="1:1" x14ac:dyDescent="0.25">
      <c r="A399" s="73"/>
    </row>
    <row r="400" spans="1:1" x14ac:dyDescent="0.25">
      <c r="A400" s="73"/>
    </row>
    <row r="401" spans="1:1" x14ac:dyDescent="0.25">
      <c r="A401" s="73"/>
    </row>
    <row r="402" spans="1:1" x14ac:dyDescent="0.25">
      <c r="A402" s="73"/>
    </row>
    <row r="403" spans="1:1" x14ac:dyDescent="0.25">
      <c r="A403" s="73"/>
    </row>
    <row r="404" spans="1:1" x14ac:dyDescent="0.25">
      <c r="A404" s="73"/>
    </row>
  </sheetData>
  <sortState ref="A1:D129">
    <sortCondition ref="A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F21"/>
  <sheetViews>
    <sheetView workbookViewId="0">
      <selection activeCell="D24" sqref="D24"/>
    </sheetView>
  </sheetViews>
  <sheetFormatPr baseColWidth="10" defaultRowHeight="15" x14ac:dyDescent="0.25"/>
  <cols>
    <col min="1" max="6" width="19.85546875" customWidth="1"/>
  </cols>
  <sheetData>
    <row r="1" spans="1:6" x14ac:dyDescent="0.25">
      <c r="A1" t="s">
        <v>27</v>
      </c>
      <c r="B1" t="s">
        <v>202</v>
      </c>
      <c r="C1" t="s">
        <v>203</v>
      </c>
      <c r="D1" t="s">
        <v>204</v>
      </c>
      <c r="E1" t="s">
        <v>205</v>
      </c>
      <c r="F1" t="s">
        <v>187</v>
      </c>
    </row>
    <row r="2" spans="1:6" x14ac:dyDescent="0.25">
      <c r="A2" s="73">
        <v>46200</v>
      </c>
      <c r="B2" t="s">
        <v>248</v>
      </c>
      <c r="C2" t="s">
        <v>51</v>
      </c>
      <c r="D2" t="s">
        <v>232</v>
      </c>
      <c r="E2" t="s">
        <v>42</v>
      </c>
      <c r="F2" t="s">
        <v>289</v>
      </c>
    </row>
    <row r="3" spans="1:6" x14ac:dyDescent="0.25">
      <c r="A3" s="73">
        <v>46201</v>
      </c>
      <c r="B3" t="s">
        <v>248</v>
      </c>
      <c r="C3" t="s">
        <v>51</v>
      </c>
      <c r="D3" t="s">
        <v>232</v>
      </c>
      <c r="E3" t="s">
        <v>42</v>
      </c>
      <c r="F3" t="s">
        <v>289</v>
      </c>
    </row>
    <row r="4" spans="1:6" x14ac:dyDescent="0.25">
      <c r="A4" s="73">
        <v>46207</v>
      </c>
      <c r="B4" t="s">
        <v>239</v>
      </c>
      <c r="C4" t="s">
        <v>240</v>
      </c>
      <c r="D4" t="s">
        <v>253</v>
      </c>
      <c r="E4" t="s">
        <v>56</v>
      </c>
      <c r="F4" t="s">
        <v>289</v>
      </c>
    </row>
    <row r="5" spans="1:6" x14ac:dyDescent="0.25">
      <c r="A5" s="73">
        <v>46208</v>
      </c>
      <c r="B5" t="s">
        <v>239</v>
      </c>
      <c r="C5" t="s">
        <v>240</v>
      </c>
      <c r="D5" t="s">
        <v>253</v>
      </c>
      <c r="E5" t="s">
        <v>56</v>
      </c>
      <c r="F5" t="s">
        <v>289</v>
      </c>
    </row>
    <row r="6" spans="1:6" x14ac:dyDescent="0.25">
      <c r="A6" s="73">
        <v>46207</v>
      </c>
      <c r="B6" t="s">
        <v>225</v>
      </c>
      <c r="C6" t="s">
        <v>39</v>
      </c>
      <c r="D6" t="s">
        <v>254</v>
      </c>
      <c r="E6" t="s">
        <v>255</v>
      </c>
      <c r="F6" t="s">
        <v>289</v>
      </c>
    </row>
    <row r="7" spans="1:6" x14ac:dyDescent="0.25">
      <c r="A7" s="73">
        <v>46208</v>
      </c>
      <c r="B7" t="s">
        <v>225</v>
      </c>
      <c r="C7" t="s">
        <v>39</v>
      </c>
      <c r="D7" t="s">
        <v>254</v>
      </c>
      <c r="E7" t="s">
        <v>255</v>
      </c>
      <c r="F7" t="s">
        <v>289</v>
      </c>
    </row>
    <row r="8" spans="1:6" x14ac:dyDescent="0.25">
      <c r="A8" s="73">
        <v>46214</v>
      </c>
      <c r="B8" t="s">
        <v>254</v>
      </c>
      <c r="C8" t="s">
        <v>255</v>
      </c>
      <c r="D8" t="s">
        <v>225</v>
      </c>
      <c r="E8" t="s">
        <v>39</v>
      </c>
      <c r="F8" t="s">
        <v>289</v>
      </c>
    </row>
    <row r="9" spans="1:6" x14ac:dyDescent="0.25">
      <c r="A9" s="73">
        <v>46215</v>
      </c>
      <c r="B9" t="s">
        <v>254</v>
      </c>
      <c r="C9" t="s">
        <v>255</v>
      </c>
      <c r="D9" t="s">
        <v>225</v>
      </c>
      <c r="E9" t="s">
        <v>39</v>
      </c>
      <c r="F9" t="s">
        <v>289</v>
      </c>
    </row>
    <row r="10" spans="1:6" x14ac:dyDescent="0.25">
      <c r="A10" s="73">
        <v>46221</v>
      </c>
      <c r="B10" t="s">
        <v>228</v>
      </c>
      <c r="C10" t="s">
        <v>40</v>
      </c>
      <c r="D10" t="s">
        <v>253</v>
      </c>
      <c r="E10" t="s">
        <v>56</v>
      </c>
      <c r="F10" t="s">
        <v>289</v>
      </c>
    </row>
    <row r="11" spans="1:6" x14ac:dyDescent="0.25">
      <c r="A11" s="73">
        <v>46222</v>
      </c>
      <c r="B11" t="s">
        <v>228</v>
      </c>
      <c r="C11" t="s">
        <v>40</v>
      </c>
      <c r="D11" t="s">
        <v>253</v>
      </c>
      <c r="E11" t="s">
        <v>56</v>
      </c>
      <c r="F11" t="s">
        <v>289</v>
      </c>
    </row>
    <row r="12" spans="1:6" x14ac:dyDescent="0.25">
      <c r="A12" s="73">
        <v>46228</v>
      </c>
      <c r="B12" t="s">
        <v>249</v>
      </c>
      <c r="C12" t="s">
        <v>52</v>
      </c>
      <c r="D12" t="s">
        <v>233</v>
      </c>
      <c r="E12" t="s">
        <v>43</v>
      </c>
      <c r="F12" t="s">
        <v>289</v>
      </c>
    </row>
    <row r="13" spans="1:6" x14ac:dyDescent="0.25">
      <c r="A13" s="73">
        <v>46229</v>
      </c>
      <c r="B13" t="s">
        <v>249</v>
      </c>
      <c r="C13" t="s">
        <v>52</v>
      </c>
      <c r="D13" t="s">
        <v>233</v>
      </c>
      <c r="E13" t="s">
        <v>43</v>
      </c>
      <c r="F13" t="s">
        <v>289</v>
      </c>
    </row>
    <row r="14" spans="1:6" x14ac:dyDescent="0.25">
      <c r="A14" s="73">
        <v>46185</v>
      </c>
      <c r="D14" t="s">
        <v>252</v>
      </c>
      <c r="E14" t="s">
        <v>55</v>
      </c>
      <c r="F14" t="s">
        <v>363</v>
      </c>
    </row>
    <row r="15" spans="1:6" x14ac:dyDescent="0.25">
      <c r="A15" s="51"/>
    </row>
    <row r="16" spans="1:6" x14ac:dyDescent="0.25">
      <c r="A16" s="51"/>
    </row>
    <row r="17" spans="1:1" x14ac:dyDescent="0.25">
      <c r="A17" s="51"/>
    </row>
    <row r="18" spans="1:1" x14ac:dyDescent="0.25">
      <c r="A18" s="51"/>
    </row>
    <row r="19" spans="1:1" x14ac:dyDescent="0.25">
      <c r="A19" s="51"/>
    </row>
    <row r="20" spans="1:1" x14ac:dyDescent="0.25">
      <c r="A20" s="51"/>
    </row>
    <row r="21" spans="1:1" x14ac:dyDescent="0.25">
      <c r="A21" s="51"/>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G6"/>
  <sheetViews>
    <sheetView topLeftCell="C1" workbookViewId="0">
      <selection activeCell="G9" sqref="G9"/>
    </sheetView>
  </sheetViews>
  <sheetFormatPr baseColWidth="10" defaultRowHeight="15" x14ac:dyDescent="0.25"/>
  <cols>
    <col min="1" max="1" width="26.140625" customWidth="1"/>
    <col min="2" max="2" width="23.85546875" customWidth="1"/>
    <col min="3" max="4" width="22.140625" customWidth="1"/>
    <col min="5" max="5" width="26.140625" customWidth="1"/>
    <col min="7" max="7" width="18" customWidth="1"/>
    <col min="8" max="8" width="16.140625" customWidth="1"/>
  </cols>
  <sheetData>
    <row r="1" spans="1:7" x14ac:dyDescent="0.25">
      <c r="A1" t="s">
        <v>76</v>
      </c>
      <c r="B1" t="s">
        <v>274</v>
      </c>
      <c r="C1" t="s">
        <v>275</v>
      </c>
      <c r="D1" t="s">
        <v>276</v>
      </c>
      <c r="E1" t="s">
        <v>269</v>
      </c>
      <c r="G1" s="86" t="s">
        <v>362</v>
      </c>
    </row>
    <row r="2" spans="1:7" x14ac:dyDescent="0.25">
      <c r="A2" t="s">
        <v>69</v>
      </c>
      <c r="B2">
        <v>3000</v>
      </c>
      <c r="C2">
        <v>6000</v>
      </c>
      <c r="D2">
        <v>15000</v>
      </c>
      <c r="E2" t="b">
        <v>0</v>
      </c>
      <c r="G2" s="87">
        <v>9</v>
      </c>
    </row>
    <row r="3" spans="1:7" x14ac:dyDescent="0.25">
      <c r="A3" t="s">
        <v>70</v>
      </c>
      <c r="B3">
        <v>3000</v>
      </c>
      <c r="C3">
        <v>6000</v>
      </c>
      <c r="D3">
        <v>15000</v>
      </c>
      <c r="E3" t="b">
        <v>0</v>
      </c>
    </row>
    <row r="4" spans="1:7" x14ac:dyDescent="0.25">
      <c r="A4" t="s">
        <v>71</v>
      </c>
      <c r="B4">
        <v>1500</v>
      </c>
      <c r="C4">
        <v>4000</v>
      </c>
      <c r="D4">
        <v>15000</v>
      </c>
      <c r="E4" t="b">
        <v>0</v>
      </c>
    </row>
    <row r="5" spans="1:7" x14ac:dyDescent="0.25">
      <c r="A5" t="s">
        <v>72</v>
      </c>
      <c r="B5">
        <v>8000</v>
      </c>
      <c r="C5">
        <v>10000</v>
      </c>
      <c r="D5">
        <v>15000</v>
      </c>
      <c r="E5" t="b">
        <v>0</v>
      </c>
    </row>
    <row r="6" spans="1:7" x14ac:dyDescent="0.25">
      <c r="A6" t="s">
        <v>118</v>
      </c>
      <c r="E6" t="b">
        <v>1</v>
      </c>
    </row>
  </sheetData>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H553"/>
  <sheetViews>
    <sheetView zoomScale="85" zoomScaleNormal="85" workbookViewId="0">
      <pane xSplit="1" ySplit="2" topLeftCell="B71" activePane="bottomRight" state="frozen"/>
      <selection pane="topRight" activeCell="B1" sqref="B1"/>
      <selection pane="bottomLeft" activeCell="A3" sqref="A3"/>
      <selection pane="bottomRight" activeCell="E123" sqref="E123"/>
    </sheetView>
  </sheetViews>
  <sheetFormatPr baseColWidth="10" defaultRowHeight="15" x14ac:dyDescent="0.25"/>
  <cols>
    <col min="1" max="1" width="22.7109375" bestFit="1" customWidth="1"/>
    <col min="2" max="2" width="27.85546875" style="48" customWidth="1"/>
    <col min="3" max="4" width="46.85546875" style="48" customWidth="1"/>
    <col min="5" max="5" width="16.140625" customWidth="1"/>
    <col min="6" max="6" width="22.42578125" customWidth="1"/>
    <col min="7" max="7" width="15" customWidth="1"/>
    <col min="8" max="8" width="20.28515625" customWidth="1"/>
  </cols>
  <sheetData>
    <row r="1" spans="1:8" ht="51" customHeight="1" x14ac:dyDescent="0.25">
      <c r="B1" s="85" t="s">
        <v>98</v>
      </c>
      <c r="C1" s="85"/>
      <c r="D1" s="85"/>
      <c r="E1" s="72"/>
      <c r="F1" s="72"/>
      <c r="G1" s="72"/>
    </row>
    <row r="2" spans="1:8" x14ac:dyDescent="0.25">
      <c r="A2" t="s">
        <v>78</v>
      </c>
      <c r="B2" s="48" t="s">
        <v>88</v>
      </c>
      <c r="C2" s="48" t="s">
        <v>79</v>
      </c>
      <c r="D2" s="48" t="s">
        <v>92</v>
      </c>
      <c r="E2" t="s">
        <v>84</v>
      </c>
      <c r="F2" t="s">
        <v>85</v>
      </c>
      <c r="G2" t="s">
        <v>86</v>
      </c>
      <c r="H2" t="s">
        <v>146</v>
      </c>
    </row>
    <row r="3" spans="1:8" x14ac:dyDescent="0.25">
      <c r="A3" t="s">
        <v>80</v>
      </c>
      <c r="B3" s="48" t="s">
        <v>82</v>
      </c>
      <c r="C3" s="48" t="s">
        <v>83</v>
      </c>
      <c r="E3" s="51">
        <v>46084</v>
      </c>
      <c r="G3" t="s">
        <v>87</v>
      </c>
      <c r="H3" t="s">
        <v>184</v>
      </c>
    </row>
    <row r="4" spans="1:8" s="56" customFormat="1" ht="6" customHeight="1" x14ac:dyDescent="0.25">
      <c r="B4" s="57"/>
      <c r="C4" s="57"/>
      <c r="D4" s="57"/>
    </row>
    <row r="5" spans="1:8" x14ac:dyDescent="0.25">
      <c r="A5" s="51" t="s">
        <v>81</v>
      </c>
      <c r="B5" s="48" t="s">
        <v>89</v>
      </c>
      <c r="E5" s="51">
        <v>46091</v>
      </c>
      <c r="F5" s="51">
        <v>46093</v>
      </c>
      <c r="G5" t="s">
        <v>87</v>
      </c>
      <c r="H5" t="s">
        <v>147</v>
      </c>
    </row>
    <row r="6" spans="1:8" hidden="1" x14ac:dyDescent="0.25">
      <c r="C6" s="48" t="s">
        <v>159</v>
      </c>
      <c r="D6" s="48" t="s">
        <v>93</v>
      </c>
    </row>
    <row r="7" spans="1:8" hidden="1" x14ac:dyDescent="0.25">
      <c r="C7" s="48" t="s">
        <v>90</v>
      </c>
      <c r="D7" s="48" t="s">
        <v>93</v>
      </c>
    </row>
    <row r="8" spans="1:8" ht="30" hidden="1" x14ac:dyDescent="0.25">
      <c r="C8" s="48" t="s">
        <v>109</v>
      </c>
      <c r="D8" s="48" t="s">
        <v>110</v>
      </c>
    </row>
    <row r="9" spans="1:8" hidden="1" x14ac:dyDescent="0.25"/>
    <row r="10" spans="1:8" ht="30" x14ac:dyDescent="0.25">
      <c r="B10" s="52" t="s">
        <v>99</v>
      </c>
    </row>
    <row r="11" spans="1:8" ht="30" hidden="1" x14ac:dyDescent="0.25">
      <c r="B11" s="52"/>
      <c r="C11" s="52" t="s">
        <v>91</v>
      </c>
      <c r="D11" s="52" t="s">
        <v>95</v>
      </c>
    </row>
    <row r="12" spans="1:8" hidden="1" x14ac:dyDescent="0.25">
      <c r="B12" s="52"/>
      <c r="C12" s="52"/>
      <c r="D12" s="52" t="s">
        <v>94</v>
      </c>
    </row>
    <row r="13" spans="1:8" hidden="1" x14ac:dyDescent="0.25">
      <c r="B13" s="52"/>
      <c r="C13" s="52"/>
      <c r="D13" s="52" t="s">
        <v>96</v>
      </c>
    </row>
    <row r="14" spans="1:8" hidden="1" x14ac:dyDescent="0.25">
      <c r="B14" s="52"/>
      <c r="C14" s="52"/>
      <c r="D14" s="52" t="s">
        <v>97</v>
      </c>
    </row>
    <row r="15" spans="1:8" ht="45" hidden="1" x14ac:dyDescent="0.25">
      <c r="B15" s="52"/>
      <c r="C15" s="52"/>
      <c r="D15" s="52" t="s">
        <v>101</v>
      </c>
    </row>
    <row r="16" spans="1:8" hidden="1" x14ac:dyDescent="0.25">
      <c r="B16" s="52"/>
      <c r="C16" s="52"/>
      <c r="D16" s="52"/>
    </row>
    <row r="17" spans="1:8" ht="30" hidden="1" x14ac:dyDescent="0.25">
      <c r="B17" s="52"/>
      <c r="C17" s="52" t="s">
        <v>100</v>
      </c>
      <c r="D17" s="52" t="s">
        <v>103</v>
      </c>
    </row>
    <row r="18" spans="1:8" ht="90" hidden="1" x14ac:dyDescent="0.25">
      <c r="B18" s="52"/>
      <c r="C18" s="52"/>
      <c r="D18" s="52" t="s">
        <v>102</v>
      </c>
    </row>
    <row r="19" spans="1:8" hidden="1" x14ac:dyDescent="0.25">
      <c r="B19" s="52"/>
      <c r="C19" s="52"/>
    </row>
    <row r="20" spans="1:8" x14ac:dyDescent="0.25">
      <c r="B20" s="52" t="s">
        <v>105</v>
      </c>
      <c r="D20" s="52"/>
    </row>
    <row r="21" spans="1:8" ht="30" hidden="1" x14ac:dyDescent="0.25">
      <c r="B21" s="52"/>
      <c r="C21" s="52" t="s">
        <v>104</v>
      </c>
      <c r="D21" s="52" t="s">
        <v>106</v>
      </c>
    </row>
    <row r="22" spans="1:8" hidden="1" x14ac:dyDescent="0.25">
      <c r="B22" s="52"/>
      <c r="C22" s="52"/>
      <c r="D22" s="52"/>
    </row>
    <row r="23" spans="1:8" x14ac:dyDescent="0.25">
      <c r="B23" s="52" t="s">
        <v>107</v>
      </c>
      <c r="C23" s="52"/>
      <c r="D23" s="52"/>
    </row>
    <row r="24" spans="1:8" ht="60" hidden="1" x14ac:dyDescent="0.25">
      <c r="B24" s="52"/>
      <c r="C24" s="52" t="s">
        <v>111</v>
      </c>
      <c r="D24" s="52" t="s">
        <v>108</v>
      </c>
    </row>
    <row r="25" spans="1:8" s="56" customFormat="1" ht="6.75" customHeight="1" x14ac:dyDescent="0.25">
      <c r="B25" s="58"/>
      <c r="C25" s="58"/>
      <c r="D25" s="59"/>
    </row>
    <row r="26" spans="1:8" x14ac:dyDescent="0.25">
      <c r="A26" t="s">
        <v>114</v>
      </c>
      <c r="B26" s="52" t="s">
        <v>117</v>
      </c>
      <c r="C26" s="52"/>
      <c r="D26" s="52"/>
      <c r="E26" s="51">
        <v>46141</v>
      </c>
      <c r="F26" s="51">
        <v>46146</v>
      </c>
      <c r="G26" t="s">
        <v>87</v>
      </c>
      <c r="H26" t="s">
        <v>148</v>
      </c>
    </row>
    <row r="27" spans="1:8" ht="60" hidden="1" x14ac:dyDescent="0.25">
      <c r="B27" s="52"/>
      <c r="C27" s="52" t="s">
        <v>115</v>
      </c>
      <c r="D27" s="52"/>
    </row>
    <row r="28" spans="1:8" hidden="1" x14ac:dyDescent="0.25">
      <c r="B28" s="52"/>
      <c r="C28" s="52"/>
      <c r="D28" s="52"/>
    </row>
    <row r="29" spans="1:8" hidden="1" x14ac:dyDescent="0.25">
      <c r="B29" s="52"/>
      <c r="C29" s="48" t="s">
        <v>116</v>
      </c>
      <c r="D29" s="48" t="s">
        <v>119</v>
      </c>
    </row>
    <row r="30" spans="1:8" hidden="1" x14ac:dyDescent="0.25">
      <c r="B30" s="52"/>
      <c r="C30" s="52"/>
      <c r="D30" s="48" t="s">
        <v>120</v>
      </c>
    </row>
    <row r="31" spans="1:8" hidden="1" x14ac:dyDescent="0.25">
      <c r="B31" s="52"/>
      <c r="C31" s="52"/>
      <c r="D31" s="52"/>
    </row>
    <row r="32" spans="1:8" x14ac:dyDescent="0.25">
      <c r="B32" s="48" t="s">
        <v>121</v>
      </c>
      <c r="C32" s="52"/>
      <c r="D32" s="52"/>
    </row>
    <row r="33" spans="2:4" ht="30" hidden="1" x14ac:dyDescent="0.25">
      <c r="B33" s="52"/>
      <c r="C33" s="48" t="s">
        <v>122</v>
      </c>
      <c r="D33" s="48" t="s">
        <v>123</v>
      </c>
    </row>
    <row r="34" spans="2:4" ht="90" hidden="1" x14ac:dyDescent="0.25">
      <c r="B34" s="52"/>
      <c r="C34" s="52"/>
      <c r="D34" s="48" t="s">
        <v>140</v>
      </c>
    </row>
    <row r="35" spans="2:4" hidden="1" x14ac:dyDescent="0.25">
      <c r="B35" s="52"/>
      <c r="C35" s="52"/>
      <c r="D35" s="52"/>
    </row>
    <row r="36" spans="2:4" x14ac:dyDescent="0.25">
      <c r="B36" t="s">
        <v>124</v>
      </c>
      <c r="C36" s="52"/>
      <c r="D36" s="52"/>
    </row>
    <row r="37" spans="2:4" ht="45" hidden="1" x14ac:dyDescent="0.25">
      <c r="B37" s="52"/>
      <c r="C37" s="48" t="s">
        <v>125</v>
      </c>
      <c r="D37" t="s">
        <v>123</v>
      </c>
    </row>
    <row r="38" spans="2:4" ht="45" hidden="1" x14ac:dyDescent="0.25">
      <c r="B38" s="52"/>
      <c r="C38" s="52"/>
      <c r="D38" s="48" t="s">
        <v>141</v>
      </c>
    </row>
    <row r="39" spans="2:4" hidden="1" x14ac:dyDescent="0.25">
      <c r="B39" s="52"/>
      <c r="C39" s="52"/>
      <c r="D39" t="s">
        <v>126</v>
      </c>
    </row>
    <row r="40" spans="2:4" hidden="1" x14ac:dyDescent="0.25">
      <c r="B40" s="52"/>
      <c r="C40" s="52"/>
      <c r="D40" s="52"/>
    </row>
    <row r="41" spans="2:4" x14ac:dyDescent="0.25">
      <c r="B41" t="s">
        <v>127</v>
      </c>
      <c r="D41" s="52"/>
    </row>
    <row r="42" spans="2:4" hidden="1" x14ac:dyDescent="0.25">
      <c r="B42" s="52"/>
      <c r="C42" t="s">
        <v>128</v>
      </c>
      <c r="D42" t="s">
        <v>93</v>
      </c>
    </row>
    <row r="43" spans="2:4" hidden="1" x14ac:dyDescent="0.25">
      <c r="B43" s="52"/>
      <c r="C43"/>
      <c r="D43"/>
    </row>
    <row r="44" spans="2:4" ht="30" hidden="1" x14ac:dyDescent="0.25">
      <c r="B44" s="52"/>
      <c r="C44" s="52" t="s">
        <v>129</v>
      </c>
      <c r="D44" s="48" t="s">
        <v>142</v>
      </c>
    </row>
    <row r="45" spans="2:4" hidden="1" x14ac:dyDescent="0.25">
      <c r="B45" s="52"/>
      <c r="C45" s="52"/>
    </row>
    <row r="46" spans="2:4" ht="30" hidden="1" x14ac:dyDescent="0.25">
      <c r="B46" s="52"/>
      <c r="C46" s="52" t="s">
        <v>130</v>
      </c>
      <c r="D46" s="52" t="s">
        <v>131</v>
      </c>
    </row>
    <row r="47" spans="2:4" hidden="1" x14ac:dyDescent="0.25">
      <c r="B47" s="52"/>
      <c r="C47" s="52"/>
      <c r="D47" s="52"/>
    </row>
    <row r="48" spans="2:4" x14ac:dyDescent="0.25">
      <c r="B48" t="s">
        <v>132</v>
      </c>
    </row>
    <row r="49" spans="1:8" ht="45" hidden="1" x14ac:dyDescent="0.25">
      <c r="B49" s="52"/>
      <c r="C49" s="52" t="s">
        <v>133</v>
      </c>
      <c r="D49" t="s">
        <v>120</v>
      </c>
    </row>
    <row r="50" spans="1:8" hidden="1" x14ac:dyDescent="0.25">
      <c r="C50" s="52"/>
      <c r="D50" s="52"/>
    </row>
    <row r="51" spans="1:8" x14ac:dyDescent="0.25">
      <c r="B51" t="s">
        <v>134</v>
      </c>
      <c r="C51" s="52"/>
      <c r="D51" s="52"/>
    </row>
    <row r="52" spans="1:8" ht="30" hidden="1" x14ac:dyDescent="0.25">
      <c r="B52" s="52"/>
      <c r="C52" s="52" t="s">
        <v>135</v>
      </c>
      <c r="D52" s="52" t="s">
        <v>136</v>
      </c>
    </row>
    <row r="53" spans="1:8" hidden="1" x14ac:dyDescent="0.25">
      <c r="B53" s="52"/>
      <c r="C53" s="52"/>
      <c r="D53" s="52"/>
    </row>
    <row r="54" spans="1:8" x14ac:dyDescent="0.25">
      <c r="B54" s="52" t="s">
        <v>137</v>
      </c>
      <c r="C54" s="52"/>
      <c r="D54" s="52"/>
    </row>
    <row r="55" spans="1:8" ht="45" hidden="1" x14ac:dyDescent="0.25">
      <c r="B55" s="52"/>
      <c r="C55" s="52" t="s">
        <v>138</v>
      </c>
      <c r="D55" s="52" t="s">
        <v>139</v>
      </c>
    </row>
    <row r="56" spans="1:8" hidden="1" x14ac:dyDescent="0.25">
      <c r="B56" s="52"/>
      <c r="C56" s="52"/>
      <c r="D56" s="52"/>
    </row>
    <row r="57" spans="1:8" x14ac:dyDescent="0.25">
      <c r="B57" t="s">
        <v>143</v>
      </c>
      <c r="C57" s="52"/>
      <c r="D57" s="52"/>
    </row>
    <row r="58" spans="1:8" ht="30" hidden="1" x14ac:dyDescent="0.25">
      <c r="B58" s="52"/>
      <c r="C58" s="52" t="s">
        <v>144</v>
      </c>
      <c r="D58" s="52" t="s">
        <v>145</v>
      </c>
    </row>
    <row r="59" spans="1:8" s="56" customFormat="1" ht="6" customHeight="1" x14ac:dyDescent="0.25">
      <c r="B59" s="58"/>
      <c r="C59" s="58"/>
      <c r="D59" s="58"/>
    </row>
    <row r="60" spans="1:8" x14ac:dyDescent="0.25">
      <c r="A60" t="s">
        <v>149</v>
      </c>
      <c r="B60" s="52" t="s">
        <v>150</v>
      </c>
      <c r="C60" s="52"/>
      <c r="D60" s="52"/>
      <c r="E60" s="51">
        <v>46146</v>
      </c>
      <c r="F60" s="51">
        <v>46146</v>
      </c>
      <c r="G60" t="s">
        <v>87</v>
      </c>
      <c r="H60" t="s">
        <v>148</v>
      </c>
    </row>
    <row r="61" spans="1:8" ht="30" hidden="1" x14ac:dyDescent="0.25">
      <c r="B61" s="52"/>
      <c r="C61" s="52" t="s">
        <v>151</v>
      </c>
      <c r="D61" s="52"/>
    </row>
    <row r="62" spans="1:8" hidden="1" x14ac:dyDescent="0.25">
      <c r="B62" s="52"/>
      <c r="C62" s="52"/>
      <c r="D62" s="52"/>
    </row>
    <row r="63" spans="1:8" hidden="1" x14ac:dyDescent="0.25">
      <c r="B63" s="52"/>
      <c r="C63" s="52" t="s">
        <v>152</v>
      </c>
      <c r="D63" s="52" t="s">
        <v>153</v>
      </c>
    </row>
    <row r="64" spans="1:8" hidden="1" x14ac:dyDescent="0.25">
      <c r="B64" s="52"/>
      <c r="C64" s="52"/>
      <c r="D64" s="52"/>
    </row>
    <row r="65" spans="1:8" ht="30" hidden="1" x14ac:dyDescent="0.25">
      <c r="B65" s="52"/>
      <c r="C65" s="52" t="s">
        <v>154</v>
      </c>
      <c r="D65" s="52" t="s">
        <v>155</v>
      </c>
    </row>
    <row r="66" spans="1:8" hidden="1" x14ac:dyDescent="0.25">
      <c r="B66" s="52"/>
      <c r="C66" s="52"/>
      <c r="D66" s="52"/>
    </row>
    <row r="67" spans="1:8" ht="45" hidden="1" x14ac:dyDescent="0.25">
      <c r="B67" s="52"/>
      <c r="C67" s="52" t="s">
        <v>156</v>
      </c>
      <c r="D67" s="71" t="s">
        <v>158</v>
      </c>
    </row>
    <row r="68" spans="1:8" hidden="1" x14ac:dyDescent="0.25">
      <c r="B68" s="52"/>
      <c r="C68" s="52"/>
      <c r="D68" s="52"/>
    </row>
    <row r="69" spans="1:8" ht="30" hidden="1" x14ac:dyDescent="0.25">
      <c r="B69" s="52"/>
      <c r="C69" s="52" t="s">
        <v>157</v>
      </c>
      <c r="D69" s="52"/>
    </row>
    <row r="70" spans="1:8" s="56" customFormat="1" ht="7.5" customHeight="1" x14ac:dyDescent="0.25">
      <c r="B70" s="58"/>
      <c r="C70" s="58"/>
      <c r="D70" s="58"/>
    </row>
    <row r="71" spans="1:8" x14ac:dyDescent="0.25">
      <c r="A71" t="s">
        <v>161</v>
      </c>
      <c r="B71" s="52" t="s">
        <v>162</v>
      </c>
      <c r="C71" s="52"/>
      <c r="D71" s="52"/>
      <c r="E71" s="51">
        <v>46155</v>
      </c>
      <c r="F71" s="51">
        <v>46160</v>
      </c>
      <c r="G71" t="s">
        <v>87</v>
      </c>
      <c r="H71" t="s">
        <v>148</v>
      </c>
    </row>
    <row r="72" spans="1:8" ht="30" hidden="1" x14ac:dyDescent="0.25">
      <c r="B72" s="52"/>
      <c r="C72" s="52" t="s">
        <v>163</v>
      </c>
      <c r="D72" s="52" t="s">
        <v>136</v>
      </c>
    </row>
    <row r="73" spans="1:8" hidden="1" x14ac:dyDescent="0.25">
      <c r="B73" s="52"/>
      <c r="C73" s="52"/>
      <c r="D73" s="52"/>
    </row>
    <row r="74" spans="1:8" ht="30" hidden="1" x14ac:dyDescent="0.25">
      <c r="B74" s="52"/>
      <c r="C74" s="52" t="s">
        <v>164</v>
      </c>
      <c r="D74" s="52" t="s">
        <v>165</v>
      </c>
    </row>
    <row r="75" spans="1:8" hidden="1" x14ac:dyDescent="0.25">
      <c r="B75" s="52"/>
      <c r="C75" s="52"/>
      <c r="D75" s="52"/>
    </row>
    <row r="76" spans="1:8" x14ac:dyDescent="0.25">
      <c r="B76" s="52" t="s">
        <v>167</v>
      </c>
      <c r="D76" s="52"/>
    </row>
    <row r="77" spans="1:8" hidden="1" x14ac:dyDescent="0.25">
      <c r="B77" s="52"/>
      <c r="C77" s="52" t="s">
        <v>166</v>
      </c>
      <c r="D77" s="52" t="s">
        <v>136</v>
      </c>
    </row>
    <row r="78" spans="1:8" hidden="1" x14ac:dyDescent="0.25">
      <c r="B78" s="52"/>
      <c r="C78" s="52"/>
      <c r="D78" s="52"/>
    </row>
    <row r="79" spans="1:8" ht="45" hidden="1" x14ac:dyDescent="0.25">
      <c r="B79" s="52"/>
      <c r="C79" s="52" t="s">
        <v>168</v>
      </c>
      <c r="D79" s="71" t="s">
        <v>175</v>
      </c>
    </row>
    <row r="80" spans="1:8" hidden="1" x14ac:dyDescent="0.25">
      <c r="B80" s="52"/>
      <c r="C80" s="52"/>
      <c r="D80" s="52"/>
    </row>
    <row r="81" spans="2:4" x14ac:dyDescent="0.25">
      <c r="B81" s="52" t="s">
        <v>169</v>
      </c>
      <c r="C81" s="52"/>
      <c r="D81" s="52"/>
    </row>
    <row r="82" spans="2:4" ht="30" hidden="1" x14ac:dyDescent="0.25">
      <c r="B82" s="52"/>
      <c r="C82" s="52" t="s">
        <v>170</v>
      </c>
      <c r="D82" s="52" t="s">
        <v>171</v>
      </c>
    </row>
    <row r="83" spans="2:4" hidden="1" x14ac:dyDescent="0.25">
      <c r="B83" s="52"/>
      <c r="C83" s="52"/>
      <c r="D83" s="52"/>
    </row>
    <row r="84" spans="2:4" ht="30" hidden="1" x14ac:dyDescent="0.25">
      <c r="B84" s="52"/>
      <c r="C84" s="52" t="s">
        <v>172</v>
      </c>
      <c r="D84" s="52" t="s">
        <v>171</v>
      </c>
    </row>
    <row r="85" spans="2:4" hidden="1" x14ac:dyDescent="0.25">
      <c r="B85" s="52"/>
      <c r="C85" s="52"/>
      <c r="D85" s="52"/>
    </row>
    <row r="86" spans="2:4" hidden="1" x14ac:dyDescent="0.25">
      <c r="B86" s="52"/>
      <c r="C86" s="52" t="s">
        <v>173</v>
      </c>
      <c r="D86" s="52" t="s">
        <v>174</v>
      </c>
    </row>
    <row r="87" spans="2:4" hidden="1" x14ac:dyDescent="0.25">
      <c r="B87" s="52"/>
      <c r="C87" s="52"/>
      <c r="D87" s="52"/>
    </row>
    <row r="88" spans="2:4" x14ac:dyDescent="0.25">
      <c r="B88" s="52" t="s">
        <v>176</v>
      </c>
      <c r="C88" s="52"/>
      <c r="D88" s="52"/>
    </row>
    <row r="89" spans="2:4" ht="30" hidden="1" x14ac:dyDescent="0.25">
      <c r="B89" s="52"/>
      <c r="C89" s="52" t="s">
        <v>177</v>
      </c>
      <c r="D89" s="52" t="s">
        <v>179</v>
      </c>
    </row>
    <row r="90" spans="2:4" hidden="1" x14ac:dyDescent="0.25">
      <c r="B90" s="52"/>
      <c r="C90" s="52"/>
      <c r="D90" s="52"/>
    </row>
    <row r="91" spans="2:4" ht="45" hidden="1" x14ac:dyDescent="0.25">
      <c r="B91" s="52"/>
      <c r="C91" s="52" t="s">
        <v>178</v>
      </c>
      <c r="D91" s="71" t="s">
        <v>158</v>
      </c>
    </row>
    <row r="92" spans="2:4" hidden="1" x14ac:dyDescent="0.25">
      <c r="B92" s="52"/>
      <c r="C92" s="52"/>
      <c r="D92" s="52"/>
    </row>
    <row r="93" spans="2:4" x14ac:dyDescent="0.25">
      <c r="B93" s="52" t="s">
        <v>180</v>
      </c>
      <c r="C93" s="52"/>
      <c r="D93" s="52"/>
    </row>
    <row r="94" spans="2:4" ht="45" hidden="1" x14ac:dyDescent="0.25">
      <c r="B94" s="52"/>
      <c r="C94" s="52" t="s">
        <v>182</v>
      </c>
      <c r="D94" s="52" t="s">
        <v>181</v>
      </c>
    </row>
    <row r="95" spans="2:4" hidden="1" x14ac:dyDescent="0.25">
      <c r="B95" s="52"/>
      <c r="C95" s="52"/>
      <c r="D95" s="52"/>
    </row>
    <row r="96" spans="2:4" ht="45" hidden="1" x14ac:dyDescent="0.25">
      <c r="B96" s="52"/>
      <c r="C96" s="52" t="s">
        <v>183</v>
      </c>
      <c r="D96" s="71" t="s">
        <v>158</v>
      </c>
    </row>
    <row r="97" spans="1:8" s="56" customFormat="1" ht="8.25" customHeight="1" x14ac:dyDescent="0.25">
      <c r="B97" s="58"/>
      <c r="C97" s="58"/>
      <c r="D97" s="58"/>
    </row>
    <row r="98" spans="1:8" x14ac:dyDescent="0.25">
      <c r="A98" t="s">
        <v>277</v>
      </c>
      <c r="B98" s="52" t="s">
        <v>278</v>
      </c>
      <c r="C98" s="52"/>
      <c r="D98" s="52"/>
      <c r="E98" s="51">
        <v>46174</v>
      </c>
      <c r="F98" s="51">
        <v>46174</v>
      </c>
      <c r="G98" t="s">
        <v>87</v>
      </c>
      <c r="H98" t="s">
        <v>148</v>
      </c>
    </row>
    <row r="99" spans="1:8" ht="30" hidden="1" x14ac:dyDescent="0.25">
      <c r="B99" s="52"/>
      <c r="C99" s="52" t="s">
        <v>279</v>
      </c>
      <c r="D99" s="52" t="s">
        <v>280</v>
      </c>
    </row>
    <row r="100" spans="1:8" hidden="1" x14ac:dyDescent="0.25">
      <c r="B100" s="52"/>
      <c r="C100" s="52"/>
      <c r="D100" s="52"/>
    </row>
    <row r="101" spans="1:8" hidden="1" x14ac:dyDescent="0.25">
      <c r="B101" s="52"/>
      <c r="C101" s="52" t="s">
        <v>281</v>
      </c>
      <c r="D101" s="52" t="s">
        <v>280</v>
      </c>
    </row>
    <row r="102" spans="1:8" hidden="1" x14ac:dyDescent="0.25">
      <c r="B102" s="52"/>
      <c r="C102" s="52"/>
      <c r="D102" s="52"/>
    </row>
    <row r="103" spans="1:8" x14ac:dyDescent="0.25">
      <c r="B103" s="52" t="s">
        <v>282</v>
      </c>
      <c r="C103" s="52"/>
      <c r="D103" s="52"/>
    </row>
    <row r="104" spans="1:8" ht="30" hidden="1" x14ac:dyDescent="0.25">
      <c r="B104" s="52"/>
      <c r="C104" s="52" t="s">
        <v>283</v>
      </c>
      <c r="D104" s="52" t="s">
        <v>174</v>
      </c>
    </row>
    <row r="105" spans="1:8" hidden="1" x14ac:dyDescent="0.25">
      <c r="B105" s="52"/>
      <c r="C105" s="52"/>
      <c r="D105" s="52"/>
    </row>
    <row r="106" spans="1:8" ht="30" hidden="1" x14ac:dyDescent="0.25">
      <c r="B106" s="52"/>
      <c r="C106" s="52" t="s">
        <v>284</v>
      </c>
      <c r="D106" s="52" t="s">
        <v>174</v>
      </c>
    </row>
    <row r="107" spans="1:8" hidden="1" x14ac:dyDescent="0.25">
      <c r="B107" s="52"/>
      <c r="C107" s="52"/>
      <c r="D107" s="52"/>
    </row>
    <row r="108" spans="1:8" ht="30" hidden="1" x14ac:dyDescent="0.25">
      <c r="B108" s="52"/>
      <c r="C108" s="52" t="s">
        <v>285</v>
      </c>
      <c r="D108" s="52" t="s">
        <v>174</v>
      </c>
    </row>
    <row r="109" spans="1:8" hidden="1" x14ac:dyDescent="0.25">
      <c r="B109" s="52"/>
      <c r="C109" s="52"/>
      <c r="D109" s="52"/>
    </row>
    <row r="110" spans="1:8" hidden="1" x14ac:dyDescent="0.25">
      <c r="B110" s="52"/>
      <c r="C110" s="52" t="s">
        <v>286</v>
      </c>
      <c r="D110" s="52" t="s">
        <v>174</v>
      </c>
    </row>
    <row r="111" spans="1:8" s="56" customFormat="1" ht="8.25" customHeight="1" x14ac:dyDescent="0.25">
      <c r="B111" s="58"/>
      <c r="C111" s="58"/>
      <c r="D111" s="58"/>
    </row>
    <row r="112" spans="1:8" x14ac:dyDescent="0.25">
      <c r="A112" t="s">
        <v>295</v>
      </c>
      <c r="B112" s="52" t="s">
        <v>296</v>
      </c>
      <c r="C112" s="52"/>
      <c r="D112" s="52"/>
      <c r="E112" s="51">
        <v>46160</v>
      </c>
      <c r="G112" t="s">
        <v>87</v>
      </c>
      <c r="H112" t="s">
        <v>148</v>
      </c>
    </row>
    <row r="113" spans="2:4" x14ac:dyDescent="0.25">
      <c r="B113" s="52"/>
      <c r="C113" t="s">
        <v>297</v>
      </c>
      <c r="D113" s="52" t="s">
        <v>298</v>
      </c>
    </row>
    <row r="114" spans="2:4" x14ac:dyDescent="0.25">
      <c r="B114" s="52"/>
      <c r="C114" s="52"/>
      <c r="D114" s="52"/>
    </row>
    <row r="115" spans="2:4" x14ac:dyDescent="0.25">
      <c r="B115" s="52"/>
      <c r="C115" t="s">
        <v>299</v>
      </c>
      <c r="D115" s="52" t="s">
        <v>300</v>
      </c>
    </row>
    <row r="116" spans="2:4" x14ac:dyDescent="0.25">
      <c r="B116" s="52"/>
      <c r="C116" s="52"/>
      <c r="D116" s="52"/>
    </row>
    <row r="117" spans="2:4" x14ac:dyDescent="0.25">
      <c r="B117" s="52"/>
      <c r="C117" t="s">
        <v>301</v>
      </c>
      <c r="D117" s="52" t="s">
        <v>302</v>
      </c>
    </row>
    <row r="118" spans="2:4" x14ac:dyDescent="0.25">
      <c r="B118" s="52"/>
      <c r="C118" s="52"/>
      <c r="D118" s="52"/>
    </row>
    <row r="119" spans="2:4" x14ac:dyDescent="0.25">
      <c r="B119" s="52"/>
      <c r="C119" t="s">
        <v>303</v>
      </c>
      <c r="D119" s="52" t="s">
        <v>304</v>
      </c>
    </row>
    <row r="120" spans="2:4" x14ac:dyDescent="0.25">
      <c r="B120" s="52"/>
      <c r="C120" s="52"/>
      <c r="D120" s="52"/>
    </row>
    <row r="121" spans="2:4" ht="30" x14ac:dyDescent="0.25">
      <c r="B121" s="52"/>
      <c r="C121" t="s">
        <v>305</v>
      </c>
      <c r="D121" s="52" t="s">
        <v>306</v>
      </c>
    </row>
    <row r="122" spans="2:4" x14ac:dyDescent="0.25">
      <c r="B122" s="52"/>
      <c r="C122" s="52"/>
      <c r="D122" s="52"/>
    </row>
    <row r="123" spans="2:4" x14ac:dyDescent="0.25">
      <c r="B123" s="52"/>
      <c r="C123" s="52" t="s">
        <v>307</v>
      </c>
      <c r="D123" s="52" t="s">
        <v>308</v>
      </c>
    </row>
    <row r="124" spans="2:4" x14ac:dyDescent="0.25">
      <c r="B124" s="52"/>
      <c r="C124" s="52"/>
      <c r="D124" s="52"/>
    </row>
    <row r="125" spans="2:4" x14ac:dyDescent="0.25">
      <c r="B125" s="52"/>
      <c r="C125" s="52" t="s">
        <v>309</v>
      </c>
      <c r="D125" s="52" t="s">
        <v>310</v>
      </c>
    </row>
    <row r="126" spans="2:4" x14ac:dyDescent="0.25">
      <c r="B126" s="52"/>
      <c r="C126" s="52"/>
      <c r="D126" s="52"/>
    </row>
    <row r="127" spans="2:4" x14ac:dyDescent="0.25">
      <c r="B127" t="s">
        <v>311</v>
      </c>
      <c r="C127" s="52"/>
      <c r="D127" s="52"/>
    </row>
    <row r="128" spans="2:4" x14ac:dyDescent="0.25">
      <c r="B128" s="52"/>
      <c r="C128" s="52" t="s">
        <v>312</v>
      </c>
      <c r="D128" s="52" t="s">
        <v>313</v>
      </c>
    </row>
    <row r="129" spans="2:4" x14ac:dyDescent="0.25">
      <c r="B129" s="52"/>
      <c r="C129" s="52"/>
      <c r="D129" s="52"/>
    </row>
    <row r="130" spans="2:4" x14ac:dyDescent="0.25">
      <c r="B130" s="52" t="s">
        <v>314</v>
      </c>
      <c r="C130" s="52"/>
      <c r="D130" s="52"/>
    </row>
    <row r="131" spans="2:4" x14ac:dyDescent="0.25">
      <c r="B131" s="52"/>
      <c r="C131" s="52" t="s">
        <v>315</v>
      </c>
      <c r="D131" s="48" t="s">
        <v>317</v>
      </c>
    </row>
    <row r="132" spans="2:4" x14ac:dyDescent="0.25">
      <c r="B132" s="52"/>
      <c r="C132" s="52"/>
      <c r="D132" s="52"/>
    </row>
    <row r="133" spans="2:4" x14ac:dyDescent="0.25">
      <c r="B133" s="52" t="s">
        <v>318</v>
      </c>
      <c r="C133" s="52"/>
      <c r="D133" s="52"/>
    </row>
    <row r="134" spans="2:4" x14ac:dyDescent="0.25">
      <c r="B134" s="52"/>
      <c r="C134" s="52" t="s">
        <v>315</v>
      </c>
      <c r="D134" s="52" t="s">
        <v>316</v>
      </c>
    </row>
    <row r="135" spans="2:4" x14ac:dyDescent="0.25">
      <c r="B135" s="52"/>
      <c r="C135" s="52"/>
      <c r="D135" s="52"/>
    </row>
    <row r="136" spans="2:4" x14ac:dyDescent="0.25">
      <c r="B136" s="52" t="s">
        <v>319</v>
      </c>
      <c r="C136" s="52"/>
      <c r="D136" s="52"/>
    </row>
    <row r="137" spans="2:4" x14ac:dyDescent="0.25">
      <c r="B137" s="52"/>
      <c r="C137" s="52" t="s">
        <v>315</v>
      </c>
      <c r="D137" s="52" t="s">
        <v>320</v>
      </c>
    </row>
    <row r="138" spans="2:4" x14ac:dyDescent="0.25">
      <c r="B138" s="52"/>
      <c r="C138" s="52"/>
      <c r="D138" s="52"/>
    </row>
    <row r="139" spans="2:4" x14ac:dyDescent="0.25">
      <c r="B139" s="52" t="s">
        <v>321</v>
      </c>
      <c r="C139" s="52"/>
      <c r="D139" s="52"/>
    </row>
    <row r="140" spans="2:4" ht="30" x14ac:dyDescent="0.25">
      <c r="B140" s="52"/>
      <c r="C140" s="52" t="s">
        <v>315</v>
      </c>
      <c r="D140" s="52" t="s">
        <v>322</v>
      </c>
    </row>
    <row r="141" spans="2:4" x14ac:dyDescent="0.25">
      <c r="B141" s="52"/>
      <c r="C141" s="52"/>
      <c r="D141" s="52"/>
    </row>
    <row r="142" spans="2:4" x14ac:dyDescent="0.25">
      <c r="B142" s="52" t="s">
        <v>323</v>
      </c>
      <c r="C142" s="52"/>
      <c r="D142" s="52"/>
    </row>
    <row r="143" spans="2:4" x14ac:dyDescent="0.25">
      <c r="B143" s="52"/>
      <c r="C143" s="52" t="s">
        <v>315</v>
      </c>
      <c r="D143" s="52" t="s">
        <v>324</v>
      </c>
    </row>
    <row r="144" spans="2:4" x14ac:dyDescent="0.25">
      <c r="B144" s="52"/>
      <c r="C144" s="52"/>
      <c r="D144" s="52"/>
    </row>
    <row r="145" spans="2:4" x14ac:dyDescent="0.25">
      <c r="B145" s="52" t="s">
        <v>325</v>
      </c>
      <c r="C145" s="52"/>
      <c r="D145" s="52"/>
    </row>
    <row r="146" spans="2:4" x14ac:dyDescent="0.25">
      <c r="B146" s="52"/>
      <c r="C146" s="48" t="s">
        <v>326</v>
      </c>
      <c r="D146" s="52"/>
    </row>
    <row r="147" spans="2:4" ht="30" x14ac:dyDescent="0.25">
      <c r="B147" s="52"/>
      <c r="C147" s="48" t="s">
        <v>327</v>
      </c>
      <c r="D147" s="52"/>
    </row>
    <row r="148" spans="2:4" x14ac:dyDescent="0.25">
      <c r="B148" s="52"/>
      <c r="C148" s="48" t="s">
        <v>328</v>
      </c>
      <c r="D148" s="52"/>
    </row>
    <row r="149" spans="2:4" x14ac:dyDescent="0.25">
      <c r="B149" s="52"/>
      <c r="C149" s="52"/>
      <c r="D149" s="52"/>
    </row>
    <row r="150" spans="2:4" x14ac:dyDescent="0.25">
      <c r="B150" s="52" t="s">
        <v>329</v>
      </c>
      <c r="C150" s="52"/>
      <c r="D150" s="52"/>
    </row>
    <row r="151" spans="2:4" ht="30" x14ac:dyDescent="0.25">
      <c r="B151" s="52"/>
      <c r="C151" s="48" t="s">
        <v>330</v>
      </c>
      <c r="D151" s="52"/>
    </row>
    <row r="152" spans="2:4" ht="30" x14ac:dyDescent="0.25">
      <c r="B152" s="52"/>
      <c r="C152" s="48" t="s">
        <v>331</v>
      </c>
      <c r="D152" s="52"/>
    </row>
    <row r="153" spans="2:4" x14ac:dyDescent="0.25">
      <c r="B153" s="52"/>
      <c r="C153" s="52"/>
      <c r="D153" s="52"/>
    </row>
    <row r="154" spans="2:4" x14ac:dyDescent="0.25">
      <c r="B154" t="s">
        <v>332</v>
      </c>
      <c r="C154" s="52"/>
      <c r="D154" s="52"/>
    </row>
    <row r="155" spans="2:4" x14ac:dyDescent="0.25">
      <c r="B155" s="52"/>
      <c r="C155" s="48" t="s">
        <v>333</v>
      </c>
      <c r="D155" s="52"/>
    </row>
    <row r="156" spans="2:4" x14ac:dyDescent="0.25">
      <c r="B156" s="52"/>
      <c r="C156" s="52"/>
      <c r="D156" s="52"/>
    </row>
    <row r="157" spans="2:4" x14ac:dyDescent="0.25">
      <c r="B157" t="s">
        <v>334</v>
      </c>
      <c r="C157" s="52"/>
      <c r="D157" s="52"/>
    </row>
    <row r="158" spans="2:4" ht="30" x14ac:dyDescent="0.25">
      <c r="C158" s="48" t="s">
        <v>335</v>
      </c>
      <c r="D158" s="52"/>
    </row>
    <row r="159" spans="2:4" x14ac:dyDescent="0.25">
      <c r="B159" s="52"/>
      <c r="C159" s="48" t="s">
        <v>336</v>
      </c>
      <c r="D159" s="52"/>
    </row>
    <row r="160" spans="2:4" ht="30" x14ac:dyDescent="0.25">
      <c r="B160" s="52"/>
      <c r="C160" s="48" t="s">
        <v>337</v>
      </c>
      <c r="D160" s="52"/>
    </row>
    <row r="161" spans="2:4" ht="30" x14ac:dyDescent="0.25">
      <c r="B161" s="52"/>
      <c r="C161" s="48" t="s">
        <v>338</v>
      </c>
      <c r="D161" s="52"/>
    </row>
    <row r="162" spans="2:4" x14ac:dyDescent="0.25">
      <c r="B162" s="52"/>
      <c r="C162" s="48" t="s">
        <v>339</v>
      </c>
      <c r="D162" s="52"/>
    </row>
    <row r="163" spans="2:4" x14ac:dyDescent="0.25">
      <c r="B163" s="52"/>
      <c r="C163" s="52"/>
      <c r="D163" s="52"/>
    </row>
    <row r="164" spans="2:4" x14ac:dyDescent="0.25">
      <c r="B164" t="s">
        <v>340</v>
      </c>
      <c r="C164" s="52"/>
      <c r="D164" s="52"/>
    </row>
    <row r="165" spans="2:4" x14ac:dyDescent="0.25">
      <c r="B165" s="52"/>
      <c r="C165" t="s">
        <v>341</v>
      </c>
      <c r="D165" s="52"/>
    </row>
    <row r="166" spans="2:4" x14ac:dyDescent="0.25">
      <c r="B166" s="52"/>
      <c r="C166" t="s">
        <v>342</v>
      </c>
      <c r="D166" s="52"/>
    </row>
    <row r="167" spans="2:4" x14ac:dyDescent="0.25">
      <c r="B167" s="52"/>
      <c r="C167" t="s">
        <v>343</v>
      </c>
      <c r="D167" s="52"/>
    </row>
    <row r="168" spans="2:4" x14ac:dyDescent="0.25">
      <c r="B168" s="52"/>
      <c r="C168" t="s">
        <v>344</v>
      </c>
      <c r="D168" s="52"/>
    </row>
    <row r="169" spans="2:4" x14ac:dyDescent="0.25">
      <c r="B169" s="52"/>
      <c r="C169" s="52"/>
      <c r="D169" s="52"/>
    </row>
    <row r="170" spans="2:4" x14ac:dyDescent="0.25">
      <c r="B170" t="s">
        <v>345</v>
      </c>
      <c r="C170" s="52"/>
      <c r="D170" s="52"/>
    </row>
    <row r="171" spans="2:4" x14ac:dyDescent="0.25">
      <c r="B171" s="52"/>
      <c r="C171" t="s">
        <v>346</v>
      </c>
      <c r="D171" s="52"/>
    </row>
    <row r="172" spans="2:4" x14ac:dyDescent="0.25">
      <c r="B172" s="52"/>
      <c r="D172" s="52"/>
    </row>
    <row r="173" spans="2:4" x14ac:dyDescent="0.25">
      <c r="B173" s="52" t="s">
        <v>348</v>
      </c>
      <c r="C173" s="52"/>
      <c r="D173" s="52"/>
    </row>
    <row r="174" spans="2:4" x14ac:dyDescent="0.25">
      <c r="B174" s="52"/>
      <c r="C174" t="s">
        <v>347</v>
      </c>
      <c r="D174" s="52"/>
    </row>
    <row r="175" spans="2:4" x14ac:dyDescent="0.25">
      <c r="B175" s="52"/>
      <c r="C175" t="s">
        <v>349</v>
      </c>
      <c r="D175" s="52"/>
    </row>
    <row r="176" spans="2:4" x14ac:dyDescent="0.25">
      <c r="B176" s="52"/>
      <c r="C176" s="52"/>
      <c r="D176" s="52"/>
    </row>
    <row r="177" spans="2:4" x14ac:dyDescent="0.25">
      <c r="B177" t="s">
        <v>350</v>
      </c>
      <c r="C177" s="52"/>
      <c r="D177" s="52"/>
    </row>
    <row r="178" spans="2:4" x14ac:dyDescent="0.25">
      <c r="B178" s="52"/>
      <c r="C178" t="s">
        <v>351</v>
      </c>
      <c r="D178" s="52"/>
    </row>
    <row r="179" spans="2:4" x14ac:dyDescent="0.25">
      <c r="B179" s="52"/>
      <c r="C179" s="52"/>
      <c r="D179" s="52"/>
    </row>
    <row r="180" spans="2:4" x14ac:dyDescent="0.25">
      <c r="B180" s="52" t="s">
        <v>352</v>
      </c>
      <c r="C180" s="52"/>
      <c r="D180" s="52"/>
    </row>
    <row r="181" spans="2:4" x14ac:dyDescent="0.25">
      <c r="B181" s="52"/>
      <c r="C181" s="52" t="s">
        <v>353</v>
      </c>
      <c r="D181" s="52"/>
    </row>
    <row r="182" spans="2:4" x14ac:dyDescent="0.25">
      <c r="B182" s="52"/>
      <c r="C182" s="52"/>
      <c r="D182" s="52"/>
    </row>
    <row r="183" spans="2:4" x14ac:dyDescent="0.25">
      <c r="B183" t="s">
        <v>354</v>
      </c>
    </row>
    <row r="184" spans="2:4" x14ac:dyDescent="0.25">
      <c r="B184" s="52"/>
      <c r="C184" t="s">
        <v>355</v>
      </c>
      <c r="D184" s="52"/>
    </row>
    <row r="185" spans="2:4" x14ac:dyDescent="0.25">
      <c r="B185" s="52"/>
      <c r="C185" s="52"/>
      <c r="D185" s="52" t="s">
        <v>356</v>
      </c>
    </row>
    <row r="186" spans="2:4" x14ac:dyDescent="0.25">
      <c r="B186" s="52"/>
      <c r="C186" s="52"/>
      <c r="D186" s="52"/>
    </row>
    <row r="187" spans="2:4" x14ac:dyDescent="0.25">
      <c r="B187" s="52"/>
      <c r="C187" s="52"/>
      <c r="D187" s="52"/>
    </row>
    <row r="188" spans="2:4" x14ac:dyDescent="0.25">
      <c r="B188" s="52"/>
      <c r="C188" s="52"/>
      <c r="D188" s="52"/>
    </row>
    <row r="189" spans="2:4" x14ac:dyDescent="0.25">
      <c r="B189" s="52"/>
      <c r="C189" s="52"/>
      <c r="D189" s="52"/>
    </row>
    <row r="190" spans="2:4" x14ac:dyDescent="0.25">
      <c r="B190" s="52"/>
      <c r="C190" s="52"/>
      <c r="D190" s="52"/>
    </row>
    <row r="191" spans="2:4" x14ac:dyDescent="0.25">
      <c r="B191" s="52"/>
      <c r="C191" s="52"/>
      <c r="D191" s="52"/>
    </row>
    <row r="192" spans="2:4" x14ac:dyDescent="0.25">
      <c r="B192" s="52"/>
      <c r="C192" s="52"/>
      <c r="D192" s="52"/>
    </row>
    <row r="193" spans="2:4" x14ac:dyDescent="0.25">
      <c r="B193" s="52"/>
      <c r="C193" s="52"/>
      <c r="D193" s="52"/>
    </row>
    <row r="194" spans="2:4" x14ac:dyDescent="0.25">
      <c r="B194" s="52"/>
      <c r="C194" s="52"/>
      <c r="D194" s="52"/>
    </row>
    <row r="195" spans="2:4" x14ac:dyDescent="0.25">
      <c r="B195" s="52"/>
      <c r="C195" s="52"/>
      <c r="D195" s="52"/>
    </row>
    <row r="196" spans="2:4" x14ac:dyDescent="0.25">
      <c r="B196" s="52"/>
      <c r="C196" s="52"/>
      <c r="D196" s="52"/>
    </row>
    <row r="197" spans="2:4" x14ac:dyDescent="0.25">
      <c r="B197" s="52"/>
      <c r="C197" s="52"/>
      <c r="D197" s="52"/>
    </row>
    <row r="198" spans="2:4" x14ac:dyDescent="0.25">
      <c r="B198" s="52"/>
      <c r="C198" s="52"/>
      <c r="D198" s="52"/>
    </row>
    <row r="199" spans="2:4" x14ac:dyDescent="0.25">
      <c r="B199" s="52"/>
      <c r="C199" s="52"/>
      <c r="D199" s="52"/>
    </row>
    <row r="200" spans="2:4" x14ac:dyDescent="0.25">
      <c r="B200" s="52"/>
      <c r="C200" s="52"/>
      <c r="D200" s="52"/>
    </row>
    <row r="201" spans="2:4" x14ac:dyDescent="0.25">
      <c r="B201" s="52"/>
      <c r="C201" s="52"/>
      <c r="D201" s="52"/>
    </row>
    <row r="202" spans="2:4" x14ac:dyDescent="0.25">
      <c r="B202" s="52"/>
      <c r="C202" s="52"/>
      <c r="D202" s="52"/>
    </row>
    <row r="203" spans="2:4" x14ac:dyDescent="0.25">
      <c r="B203" s="52"/>
      <c r="C203" s="52"/>
      <c r="D203" s="52"/>
    </row>
    <row r="204" spans="2:4" x14ac:dyDescent="0.25">
      <c r="B204" s="52"/>
      <c r="C204" s="52"/>
      <c r="D204" s="52"/>
    </row>
    <row r="205" spans="2:4" x14ac:dyDescent="0.25">
      <c r="B205" s="52"/>
      <c r="C205" s="52"/>
      <c r="D205" s="52"/>
    </row>
    <row r="206" spans="2:4" x14ac:dyDescent="0.25">
      <c r="B206" s="52"/>
      <c r="C206" s="52"/>
      <c r="D206" s="52"/>
    </row>
    <row r="207" spans="2:4" x14ac:dyDescent="0.25">
      <c r="B207" s="52"/>
      <c r="C207" s="52"/>
      <c r="D207" s="52"/>
    </row>
    <row r="208" spans="2:4" x14ac:dyDescent="0.25">
      <c r="B208" s="52"/>
      <c r="C208" s="52"/>
      <c r="D208" s="52"/>
    </row>
    <row r="209" spans="2:4" x14ac:dyDescent="0.25">
      <c r="B209" s="52"/>
      <c r="C209" s="52"/>
      <c r="D209" s="52"/>
    </row>
    <row r="210" spans="2:4" x14ac:dyDescent="0.25">
      <c r="B210" s="52"/>
      <c r="C210" s="52"/>
      <c r="D210" s="52"/>
    </row>
    <row r="211" spans="2:4" x14ac:dyDescent="0.25">
      <c r="B211" s="52"/>
      <c r="C211" s="52"/>
      <c r="D211" s="52"/>
    </row>
    <row r="212" spans="2:4" x14ac:dyDescent="0.25">
      <c r="B212" s="52"/>
      <c r="C212" s="52"/>
      <c r="D212" s="52"/>
    </row>
    <row r="213" spans="2:4" x14ac:dyDescent="0.25">
      <c r="B213" s="52"/>
      <c r="C213" s="52"/>
      <c r="D213" s="52"/>
    </row>
    <row r="214" spans="2:4" x14ac:dyDescent="0.25">
      <c r="B214" s="52"/>
      <c r="C214" s="52"/>
      <c r="D214" s="52"/>
    </row>
    <row r="215" spans="2:4" x14ac:dyDescent="0.25">
      <c r="B215" s="52"/>
      <c r="C215" s="52"/>
      <c r="D215" s="52"/>
    </row>
    <row r="216" spans="2:4" x14ac:dyDescent="0.25">
      <c r="B216" s="52"/>
      <c r="C216" s="52"/>
      <c r="D216" s="52"/>
    </row>
    <row r="217" spans="2:4" x14ac:dyDescent="0.25">
      <c r="B217" s="52"/>
      <c r="C217" s="52"/>
      <c r="D217" s="52"/>
    </row>
    <row r="218" spans="2:4" x14ac:dyDescent="0.25">
      <c r="B218" s="52"/>
      <c r="C218" s="52"/>
      <c r="D218" s="52"/>
    </row>
    <row r="219" spans="2:4" x14ac:dyDescent="0.25">
      <c r="B219" s="52"/>
      <c r="C219" s="52"/>
      <c r="D219" s="52"/>
    </row>
    <row r="220" spans="2:4" x14ac:dyDescent="0.25">
      <c r="B220" s="52"/>
      <c r="C220" s="52"/>
      <c r="D220" s="52"/>
    </row>
    <row r="221" spans="2:4" x14ac:dyDescent="0.25">
      <c r="B221" s="52"/>
      <c r="C221" s="52"/>
      <c r="D221" s="52"/>
    </row>
    <row r="222" spans="2:4" x14ac:dyDescent="0.25">
      <c r="B222" s="52"/>
      <c r="C222" s="52"/>
      <c r="D222" s="52"/>
    </row>
    <row r="223" spans="2:4" x14ac:dyDescent="0.25">
      <c r="B223" s="52"/>
      <c r="C223" s="52"/>
      <c r="D223" s="52"/>
    </row>
    <row r="224" spans="2:4" x14ac:dyDescent="0.25">
      <c r="B224" s="52"/>
      <c r="C224" s="52"/>
      <c r="D224" s="52"/>
    </row>
    <row r="225" spans="2:4" x14ac:dyDescent="0.25">
      <c r="B225" s="52"/>
      <c r="C225" s="52"/>
      <c r="D225" s="52"/>
    </row>
    <row r="226" spans="2:4" x14ac:dyDescent="0.25">
      <c r="B226" s="52"/>
      <c r="C226" s="52"/>
      <c r="D226" s="52"/>
    </row>
    <row r="227" spans="2:4" x14ac:dyDescent="0.25">
      <c r="B227" s="52"/>
      <c r="C227" s="52"/>
      <c r="D227" s="52"/>
    </row>
    <row r="228" spans="2:4" x14ac:dyDescent="0.25">
      <c r="B228" s="52"/>
      <c r="C228" s="52"/>
      <c r="D228" s="52"/>
    </row>
    <row r="229" spans="2:4" x14ac:dyDescent="0.25">
      <c r="B229" s="52"/>
      <c r="C229" s="52"/>
      <c r="D229" s="52"/>
    </row>
    <row r="230" spans="2:4" x14ac:dyDescent="0.25">
      <c r="B230" s="52"/>
      <c r="C230" s="52"/>
      <c r="D230" s="52"/>
    </row>
    <row r="231" spans="2:4" x14ac:dyDescent="0.25">
      <c r="B231" s="52"/>
      <c r="C231" s="52"/>
      <c r="D231" s="52"/>
    </row>
    <row r="232" spans="2:4" x14ac:dyDescent="0.25">
      <c r="B232" s="52"/>
      <c r="C232" s="52"/>
      <c r="D232" s="52"/>
    </row>
    <row r="233" spans="2:4" x14ac:dyDescent="0.25">
      <c r="B233" s="52"/>
      <c r="C233" s="52"/>
      <c r="D233" s="52"/>
    </row>
    <row r="234" spans="2:4" x14ac:dyDescent="0.25">
      <c r="B234" s="52"/>
      <c r="C234" s="52"/>
      <c r="D234" s="52"/>
    </row>
    <row r="235" spans="2:4" x14ac:dyDescent="0.25">
      <c r="B235" s="52"/>
      <c r="C235" s="52"/>
      <c r="D235" s="52"/>
    </row>
    <row r="236" spans="2:4" x14ac:dyDescent="0.25">
      <c r="B236" s="52"/>
      <c r="C236" s="52"/>
      <c r="D236" s="52"/>
    </row>
    <row r="237" spans="2:4" x14ac:dyDescent="0.25">
      <c r="B237" s="52"/>
      <c r="C237" s="52"/>
      <c r="D237" s="52"/>
    </row>
    <row r="238" spans="2:4" x14ac:dyDescent="0.25">
      <c r="B238" s="52"/>
      <c r="C238" s="52"/>
      <c r="D238" s="52"/>
    </row>
    <row r="239" spans="2:4" x14ac:dyDescent="0.25">
      <c r="B239" s="52"/>
      <c r="C239" s="52"/>
      <c r="D239" s="52"/>
    </row>
    <row r="240" spans="2:4" x14ac:dyDescent="0.25">
      <c r="B240" s="52"/>
      <c r="C240" s="52"/>
      <c r="D240" s="52"/>
    </row>
    <row r="241" spans="2:4" x14ac:dyDescent="0.25">
      <c r="B241" s="52"/>
      <c r="C241" s="52"/>
      <c r="D241" s="52"/>
    </row>
    <row r="242" spans="2:4" x14ac:dyDescent="0.25">
      <c r="B242" s="52"/>
      <c r="C242" s="52"/>
      <c r="D242" s="52"/>
    </row>
    <row r="243" spans="2:4" x14ac:dyDescent="0.25">
      <c r="B243" s="52"/>
      <c r="C243" s="52"/>
      <c r="D243" s="52"/>
    </row>
    <row r="244" spans="2:4" x14ac:dyDescent="0.25">
      <c r="B244" s="52"/>
      <c r="C244" s="52"/>
      <c r="D244" s="52"/>
    </row>
    <row r="245" spans="2:4" x14ac:dyDescent="0.25">
      <c r="B245" s="52"/>
      <c r="C245" s="52"/>
      <c r="D245" s="52"/>
    </row>
    <row r="246" spans="2:4" x14ac:dyDescent="0.25">
      <c r="B246" s="52"/>
      <c r="C246" s="52"/>
      <c r="D246" s="52"/>
    </row>
    <row r="247" spans="2:4" x14ac:dyDescent="0.25">
      <c r="B247" s="52"/>
      <c r="C247" s="52"/>
      <c r="D247" s="52"/>
    </row>
    <row r="248" spans="2:4" x14ac:dyDescent="0.25">
      <c r="B248" s="52"/>
      <c r="C248" s="52"/>
      <c r="D248" s="52"/>
    </row>
    <row r="249" spans="2:4" x14ac:dyDescent="0.25">
      <c r="B249" s="52"/>
      <c r="C249" s="52"/>
      <c r="D249" s="52"/>
    </row>
    <row r="250" spans="2:4" x14ac:dyDescent="0.25">
      <c r="B250" s="52"/>
      <c r="C250" s="52"/>
      <c r="D250" s="52"/>
    </row>
    <row r="251" spans="2:4" x14ac:dyDescent="0.25">
      <c r="B251" s="52"/>
      <c r="C251" s="52"/>
      <c r="D251" s="52"/>
    </row>
    <row r="252" spans="2:4" x14ac:dyDescent="0.25">
      <c r="B252" s="52"/>
      <c r="C252" s="52"/>
      <c r="D252" s="52"/>
    </row>
    <row r="253" spans="2:4" x14ac:dyDescent="0.25">
      <c r="B253" s="52"/>
      <c r="C253" s="52"/>
      <c r="D253" s="52"/>
    </row>
    <row r="254" spans="2:4" x14ac:dyDescent="0.25">
      <c r="B254" s="52"/>
      <c r="C254" s="52"/>
      <c r="D254" s="52"/>
    </row>
    <row r="255" spans="2:4" x14ac:dyDescent="0.25">
      <c r="B255" s="52"/>
      <c r="C255" s="52"/>
      <c r="D255" s="52"/>
    </row>
    <row r="256" spans="2:4" x14ac:dyDescent="0.25">
      <c r="B256" s="52"/>
      <c r="C256" s="52"/>
      <c r="D256" s="52"/>
    </row>
    <row r="257" spans="2:4" x14ac:dyDescent="0.25">
      <c r="B257" s="52"/>
      <c r="C257" s="52"/>
      <c r="D257" s="52"/>
    </row>
    <row r="258" spans="2:4" x14ac:dyDescent="0.25">
      <c r="B258" s="52"/>
      <c r="C258" s="52"/>
      <c r="D258" s="52"/>
    </row>
    <row r="259" spans="2:4" x14ac:dyDescent="0.25">
      <c r="B259" s="52"/>
      <c r="C259" s="52"/>
      <c r="D259" s="52"/>
    </row>
    <row r="260" spans="2:4" x14ac:dyDescent="0.25">
      <c r="B260" s="52"/>
      <c r="C260" s="52"/>
      <c r="D260" s="52"/>
    </row>
    <row r="261" spans="2:4" x14ac:dyDescent="0.25">
      <c r="B261" s="52"/>
      <c r="C261" s="52"/>
      <c r="D261" s="52"/>
    </row>
    <row r="262" spans="2:4" x14ac:dyDescent="0.25">
      <c r="B262" s="52"/>
      <c r="C262" s="52"/>
      <c r="D262" s="52"/>
    </row>
    <row r="263" spans="2:4" x14ac:dyDescent="0.25">
      <c r="B263" s="52"/>
      <c r="C263" s="52"/>
      <c r="D263" s="52"/>
    </row>
    <row r="264" spans="2:4" x14ac:dyDescent="0.25">
      <c r="B264" s="52"/>
      <c r="C264" s="52"/>
      <c r="D264" s="52"/>
    </row>
    <row r="265" spans="2:4" x14ac:dyDescent="0.25">
      <c r="B265" s="52"/>
      <c r="C265" s="52"/>
      <c r="D265" s="52"/>
    </row>
    <row r="266" spans="2:4" x14ac:dyDescent="0.25">
      <c r="B266" s="52"/>
      <c r="C266" s="52"/>
      <c r="D266" s="52"/>
    </row>
    <row r="267" spans="2:4" x14ac:dyDescent="0.25">
      <c r="B267" s="52"/>
      <c r="C267" s="52"/>
      <c r="D267" s="52"/>
    </row>
    <row r="268" spans="2:4" x14ac:dyDescent="0.25">
      <c r="B268" s="52"/>
      <c r="C268" s="52"/>
      <c r="D268" s="52"/>
    </row>
    <row r="269" spans="2:4" x14ac:dyDescent="0.25">
      <c r="B269" s="52"/>
      <c r="C269" s="52"/>
      <c r="D269" s="52"/>
    </row>
    <row r="270" spans="2:4" x14ac:dyDescent="0.25">
      <c r="B270" s="52"/>
      <c r="C270" s="52"/>
      <c r="D270" s="52"/>
    </row>
    <row r="271" spans="2:4" x14ac:dyDescent="0.25">
      <c r="B271" s="52"/>
      <c r="C271" s="52"/>
      <c r="D271" s="52"/>
    </row>
    <row r="272" spans="2:4" x14ac:dyDescent="0.25">
      <c r="B272" s="52"/>
      <c r="C272" s="52"/>
      <c r="D272" s="52"/>
    </row>
    <row r="273" spans="2:4" x14ac:dyDescent="0.25">
      <c r="B273" s="52"/>
      <c r="C273" s="52"/>
      <c r="D273" s="52"/>
    </row>
    <row r="274" spans="2:4" x14ac:dyDescent="0.25">
      <c r="B274" s="52"/>
      <c r="C274" s="52"/>
      <c r="D274" s="52"/>
    </row>
    <row r="275" spans="2:4" x14ac:dyDescent="0.25">
      <c r="B275" s="52"/>
      <c r="C275" s="52"/>
      <c r="D275" s="52"/>
    </row>
    <row r="276" spans="2:4" x14ac:dyDescent="0.25">
      <c r="B276" s="52"/>
      <c r="C276" s="52"/>
      <c r="D276" s="52"/>
    </row>
    <row r="277" spans="2:4" x14ac:dyDescent="0.25">
      <c r="B277" s="52"/>
      <c r="C277" s="52"/>
      <c r="D277" s="52"/>
    </row>
    <row r="278" spans="2:4" x14ac:dyDescent="0.25">
      <c r="B278" s="52"/>
      <c r="C278" s="52"/>
      <c r="D278" s="52"/>
    </row>
    <row r="279" spans="2:4" x14ac:dyDescent="0.25">
      <c r="B279" s="52"/>
      <c r="C279" s="52"/>
      <c r="D279" s="52"/>
    </row>
    <row r="280" spans="2:4" x14ac:dyDescent="0.25">
      <c r="B280" s="52"/>
      <c r="C280" s="52"/>
      <c r="D280" s="52"/>
    </row>
    <row r="281" spans="2:4" x14ac:dyDescent="0.25">
      <c r="B281" s="52"/>
      <c r="C281" s="52"/>
      <c r="D281" s="52"/>
    </row>
    <row r="282" spans="2:4" x14ac:dyDescent="0.25">
      <c r="B282" s="52"/>
      <c r="C282" s="52"/>
      <c r="D282" s="52"/>
    </row>
    <row r="283" spans="2:4" x14ac:dyDescent="0.25">
      <c r="B283" s="52"/>
      <c r="C283" s="52"/>
      <c r="D283" s="52"/>
    </row>
    <row r="284" spans="2:4" x14ac:dyDescent="0.25">
      <c r="B284" s="52"/>
      <c r="C284" s="52"/>
      <c r="D284" s="52"/>
    </row>
    <row r="285" spans="2:4" x14ac:dyDescent="0.25">
      <c r="B285" s="52"/>
      <c r="C285" s="52"/>
      <c r="D285" s="52"/>
    </row>
    <row r="286" spans="2:4" x14ac:dyDescent="0.25">
      <c r="B286" s="52"/>
      <c r="C286" s="52"/>
      <c r="D286" s="52"/>
    </row>
    <row r="287" spans="2:4" x14ac:dyDescent="0.25">
      <c r="B287" s="52"/>
      <c r="C287" s="52"/>
      <c r="D287" s="52"/>
    </row>
    <row r="288" spans="2:4" x14ac:dyDescent="0.25">
      <c r="B288" s="52"/>
      <c r="C288" s="52"/>
      <c r="D288" s="52"/>
    </row>
    <row r="289" spans="2:4" x14ac:dyDescent="0.25">
      <c r="B289" s="52"/>
      <c r="C289" s="52"/>
      <c r="D289" s="52"/>
    </row>
    <row r="290" spans="2:4" x14ac:dyDescent="0.25">
      <c r="B290" s="52"/>
      <c r="C290" s="52"/>
      <c r="D290" s="52"/>
    </row>
    <row r="291" spans="2:4" x14ac:dyDescent="0.25">
      <c r="B291" s="52"/>
      <c r="C291" s="52"/>
      <c r="D291" s="52"/>
    </row>
    <row r="292" spans="2:4" x14ac:dyDescent="0.25">
      <c r="B292" s="52"/>
      <c r="C292" s="52"/>
      <c r="D292" s="52"/>
    </row>
    <row r="293" spans="2:4" x14ac:dyDescent="0.25">
      <c r="B293" s="52"/>
      <c r="C293" s="52"/>
      <c r="D293" s="52"/>
    </row>
    <row r="294" spans="2:4" x14ac:dyDescent="0.25">
      <c r="B294" s="52"/>
      <c r="C294" s="52"/>
      <c r="D294" s="52"/>
    </row>
    <row r="295" spans="2:4" x14ac:dyDescent="0.25">
      <c r="B295" s="52"/>
      <c r="C295" s="52"/>
      <c r="D295" s="52"/>
    </row>
    <row r="296" spans="2:4" x14ac:dyDescent="0.25">
      <c r="B296" s="52"/>
      <c r="C296" s="52"/>
      <c r="D296" s="52"/>
    </row>
    <row r="297" spans="2:4" x14ac:dyDescent="0.25">
      <c r="B297" s="52"/>
      <c r="C297" s="52"/>
      <c r="D297" s="52"/>
    </row>
    <row r="298" spans="2:4" x14ac:dyDescent="0.25">
      <c r="B298" s="52"/>
      <c r="C298" s="52"/>
      <c r="D298" s="52"/>
    </row>
    <row r="299" spans="2:4" x14ac:dyDescent="0.25">
      <c r="B299" s="52"/>
      <c r="C299" s="52"/>
      <c r="D299" s="52"/>
    </row>
    <row r="300" spans="2:4" x14ac:dyDescent="0.25">
      <c r="B300" s="52"/>
      <c r="C300" s="52"/>
      <c r="D300" s="52"/>
    </row>
    <row r="301" spans="2:4" x14ac:dyDescent="0.25">
      <c r="B301" s="52"/>
      <c r="C301" s="52"/>
      <c r="D301" s="52"/>
    </row>
    <row r="302" spans="2:4" x14ac:dyDescent="0.25">
      <c r="B302" s="52"/>
      <c r="C302" s="52"/>
      <c r="D302" s="52"/>
    </row>
    <row r="303" spans="2:4" x14ac:dyDescent="0.25">
      <c r="B303" s="52"/>
      <c r="C303" s="52"/>
      <c r="D303" s="52"/>
    </row>
    <row r="304" spans="2:4" x14ac:dyDescent="0.25">
      <c r="B304" s="52"/>
      <c r="C304" s="52"/>
      <c r="D304" s="52"/>
    </row>
    <row r="305" spans="2:4" x14ac:dyDescent="0.25">
      <c r="B305" s="52"/>
      <c r="C305" s="52"/>
      <c r="D305" s="52"/>
    </row>
    <row r="306" spans="2:4" x14ac:dyDescent="0.25">
      <c r="B306" s="52"/>
      <c r="C306" s="52"/>
      <c r="D306" s="52"/>
    </row>
    <row r="307" spans="2:4" x14ac:dyDescent="0.25">
      <c r="B307" s="52"/>
      <c r="C307" s="52"/>
      <c r="D307" s="52"/>
    </row>
    <row r="308" spans="2:4" x14ac:dyDescent="0.25">
      <c r="B308" s="52"/>
      <c r="C308" s="52"/>
      <c r="D308" s="52"/>
    </row>
    <row r="309" spans="2:4" x14ac:dyDescent="0.25">
      <c r="B309" s="52"/>
      <c r="C309" s="52"/>
      <c r="D309" s="52"/>
    </row>
    <row r="310" spans="2:4" x14ac:dyDescent="0.25">
      <c r="B310" s="52"/>
      <c r="C310" s="52"/>
      <c r="D310" s="52"/>
    </row>
    <row r="311" spans="2:4" x14ac:dyDescent="0.25">
      <c r="B311" s="52"/>
      <c r="C311" s="52"/>
      <c r="D311" s="52"/>
    </row>
    <row r="312" spans="2:4" x14ac:dyDescent="0.25">
      <c r="B312" s="52"/>
      <c r="C312" s="52"/>
      <c r="D312" s="52"/>
    </row>
    <row r="313" spans="2:4" x14ac:dyDescent="0.25">
      <c r="B313" s="52"/>
      <c r="C313" s="52"/>
      <c r="D313" s="52"/>
    </row>
    <row r="314" spans="2:4" x14ac:dyDescent="0.25">
      <c r="B314" s="52"/>
      <c r="C314" s="52"/>
      <c r="D314" s="52"/>
    </row>
    <row r="315" spans="2:4" x14ac:dyDescent="0.25">
      <c r="B315" s="52"/>
      <c r="C315" s="52"/>
      <c r="D315" s="52"/>
    </row>
    <row r="316" spans="2:4" x14ac:dyDescent="0.25">
      <c r="B316" s="52"/>
      <c r="C316" s="52"/>
      <c r="D316" s="52"/>
    </row>
    <row r="317" spans="2:4" x14ac:dyDescent="0.25">
      <c r="B317" s="52"/>
      <c r="C317" s="52"/>
      <c r="D317" s="52"/>
    </row>
    <row r="318" spans="2:4" x14ac:dyDescent="0.25">
      <c r="B318" s="52"/>
      <c r="C318" s="52"/>
      <c r="D318" s="52"/>
    </row>
    <row r="319" spans="2:4" x14ac:dyDescent="0.25">
      <c r="B319" s="52"/>
      <c r="C319" s="52"/>
      <c r="D319" s="52"/>
    </row>
    <row r="320" spans="2:4" x14ac:dyDescent="0.25">
      <c r="B320" s="52"/>
      <c r="C320" s="52"/>
      <c r="D320" s="52"/>
    </row>
    <row r="321" spans="2:4" x14ac:dyDescent="0.25">
      <c r="B321" s="52"/>
      <c r="C321" s="52"/>
      <c r="D321" s="52"/>
    </row>
    <row r="322" spans="2:4" x14ac:dyDescent="0.25">
      <c r="B322" s="52"/>
      <c r="C322" s="52"/>
      <c r="D322" s="52"/>
    </row>
    <row r="323" spans="2:4" x14ac:dyDescent="0.25">
      <c r="B323" s="52"/>
      <c r="C323" s="52"/>
      <c r="D323" s="52"/>
    </row>
    <row r="324" spans="2:4" x14ac:dyDescent="0.25">
      <c r="B324" s="52"/>
      <c r="C324" s="52"/>
      <c r="D324" s="52"/>
    </row>
    <row r="325" spans="2:4" x14ac:dyDescent="0.25">
      <c r="B325" s="52"/>
      <c r="C325" s="52"/>
      <c r="D325" s="52"/>
    </row>
    <row r="326" spans="2:4" x14ac:dyDescent="0.25">
      <c r="B326" s="52"/>
      <c r="C326" s="52"/>
      <c r="D326" s="52"/>
    </row>
    <row r="327" spans="2:4" x14ac:dyDescent="0.25">
      <c r="B327" s="52"/>
      <c r="C327" s="52"/>
      <c r="D327" s="52"/>
    </row>
    <row r="328" spans="2:4" x14ac:dyDescent="0.25">
      <c r="B328" s="52"/>
      <c r="C328" s="52"/>
      <c r="D328" s="52"/>
    </row>
    <row r="329" spans="2:4" x14ac:dyDescent="0.25">
      <c r="B329" s="52"/>
      <c r="C329" s="52"/>
      <c r="D329" s="52"/>
    </row>
    <row r="330" spans="2:4" x14ac:dyDescent="0.25">
      <c r="B330" s="52"/>
      <c r="C330" s="52"/>
      <c r="D330" s="52"/>
    </row>
    <row r="331" spans="2:4" x14ac:dyDescent="0.25">
      <c r="B331" s="52"/>
      <c r="C331" s="52"/>
      <c r="D331" s="52"/>
    </row>
    <row r="332" spans="2:4" x14ac:dyDescent="0.25">
      <c r="B332" s="52"/>
      <c r="C332" s="52"/>
      <c r="D332" s="52"/>
    </row>
    <row r="333" spans="2:4" x14ac:dyDescent="0.25">
      <c r="B333" s="52"/>
      <c r="C333" s="52"/>
      <c r="D333" s="52"/>
    </row>
    <row r="334" spans="2:4" x14ac:dyDescent="0.25">
      <c r="B334" s="52"/>
      <c r="C334" s="52"/>
      <c r="D334" s="52"/>
    </row>
    <row r="335" spans="2:4" x14ac:dyDescent="0.25">
      <c r="B335" s="52"/>
      <c r="C335" s="52"/>
      <c r="D335" s="52"/>
    </row>
    <row r="336" spans="2:4" x14ac:dyDescent="0.25">
      <c r="B336" s="52"/>
      <c r="C336" s="52"/>
      <c r="D336" s="52"/>
    </row>
    <row r="337" spans="2:4" x14ac:dyDescent="0.25">
      <c r="B337" s="52"/>
      <c r="C337" s="52"/>
      <c r="D337" s="52"/>
    </row>
    <row r="338" spans="2:4" x14ac:dyDescent="0.25">
      <c r="B338" s="52"/>
      <c r="C338" s="52"/>
      <c r="D338" s="52"/>
    </row>
    <row r="339" spans="2:4" x14ac:dyDescent="0.25">
      <c r="B339" s="52"/>
      <c r="C339" s="52"/>
      <c r="D339" s="52"/>
    </row>
    <row r="340" spans="2:4" x14ac:dyDescent="0.25">
      <c r="B340" s="52"/>
      <c r="C340" s="52"/>
      <c r="D340" s="52"/>
    </row>
    <row r="341" spans="2:4" x14ac:dyDescent="0.25">
      <c r="B341" s="52"/>
      <c r="C341" s="52"/>
      <c r="D341" s="52"/>
    </row>
    <row r="342" spans="2:4" x14ac:dyDescent="0.25">
      <c r="B342" s="52"/>
      <c r="C342" s="52"/>
      <c r="D342" s="52"/>
    </row>
    <row r="343" spans="2:4" x14ac:dyDescent="0.25">
      <c r="B343" s="52"/>
      <c r="C343" s="52"/>
      <c r="D343" s="52"/>
    </row>
    <row r="344" spans="2:4" x14ac:dyDescent="0.25">
      <c r="B344" s="52"/>
      <c r="C344" s="52"/>
      <c r="D344" s="52"/>
    </row>
    <row r="345" spans="2:4" x14ac:dyDescent="0.25">
      <c r="B345" s="52"/>
      <c r="C345" s="52"/>
      <c r="D345" s="52"/>
    </row>
    <row r="346" spans="2:4" x14ac:dyDescent="0.25">
      <c r="B346" s="52"/>
      <c r="C346" s="52"/>
      <c r="D346" s="52"/>
    </row>
    <row r="347" spans="2:4" x14ac:dyDescent="0.25">
      <c r="B347" s="52"/>
      <c r="C347" s="52"/>
      <c r="D347" s="52"/>
    </row>
    <row r="348" spans="2:4" x14ac:dyDescent="0.25">
      <c r="B348" s="52"/>
      <c r="C348" s="52"/>
      <c r="D348" s="52"/>
    </row>
    <row r="349" spans="2:4" x14ac:dyDescent="0.25">
      <c r="B349" s="52"/>
      <c r="C349" s="52"/>
      <c r="D349" s="52"/>
    </row>
    <row r="350" spans="2:4" x14ac:dyDescent="0.25">
      <c r="B350" s="52"/>
      <c r="C350" s="52"/>
      <c r="D350" s="52"/>
    </row>
    <row r="351" spans="2:4" x14ac:dyDescent="0.25">
      <c r="B351" s="52"/>
      <c r="C351" s="52"/>
      <c r="D351" s="52"/>
    </row>
    <row r="352" spans="2:4" x14ac:dyDescent="0.25">
      <c r="B352" s="52"/>
      <c r="C352" s="52"/>
      <c r="D352" s="52"/>
    </row>
    <row r="353" spans="2:4" x14ac:dyDescent="0.25">
      <c r="B353" s="52"/>
      <c r="C353" s="52"/>
      <c r="D353" s="52"/>
    </row>
    <row r="354" spans="2:4" x14ac:dyDescent="0.25">
      <c r="B354" s="52"/>
      <c r="C354" s="52"/>
      <c r="D354" s="52"/>
    </row>
    <row r="355" spans="2:4" x14ac:dyDescent="0.25">
      <c r="B355" s="52"/>
      <c r="C355" s="52"/>
      <c r="D355" s="52"/>
    </row>
    <row r="356" spans="2:4" x14ac:dyDescent="0.25">
      <c r="B356" s="52"/>
      <c r="C356" s="52"/>
      <c r="D356" s="52"/>
    </row>
    <row r="357" spans="2:4" x14ac:dyDescent="0.25">
      <c r="B357" s="52"/>
      <c r="C357" s="52"/>
      <c r="D357" s="52"/>
    </row>
    <row r="358" spans="2:4" x14ac:dyDescent="0.25">
      <c r="B358" s="52"/>
      <c r="C358" s="52"/>
      <c r="D358" s="52"/>
    </row>
    <row r="359" spans="2:4" x14ac:dyDescent="0.25">
      <c r="B359" s="52"/>
      <c r="C359" s="52"/>
      <c r="D359" s="52"/>
    </row>
    <row r="360" spans="2:4" x14ac:dyDescent="0.25">
      <c r="B360" s="52"/>
      <c r="C360" s="52"/>
      <c r="D360" s="52"/>
    </row>
    <row r="361" spans="2:4" x14ac:dyDescent="0.25">
      <c r="B361" s="52"/>
      <c r="C361" s="52"/>
      <c r="D361" s="52"/>
    </row>
    <row r="362" spans="2:4" x14ac:dyDescent="0.25">
      <c r="B362" s="52"/>
      <c r="C362" s="52"/>
      <c r="D362" s="52"/>
    </row>
    <row r="363" spans="2:4" x14ac:dyDescent="0.25">
      <c r="B363" s="52"/>
      <c r="C363" s="52"/>
      <c r="D363" s="52"/>
    </row>
    <row r="364" spans="2:4" x14ac:dyDescent="0.25">
      <c r="B364" s="52"/>
      <c r="C364" s="52"/>
      <c r="D364" s="52"/>
    </row>
    <row r="365" spans="2:4" x14ac:dyDescent="0.25">
      <c r="B365" s="52"/>
      <c r="C365" s="52"/>
      <c r="D365" s="52"/>
    </row>
    <row r="366" spans="2:4" x14ac:dyDescent="0.25">
      <c r="B366" s="52"/>
      <c r="C366" s="52"/>
      <c r="D366" s="52"/>
    </row>
    <row r="367" spans="2:4" x14ac:dyDescent="0.25">
      <c r="B367" s="52"/>
      <c r="C367" s="52"/>
      <c r="D367" s="52"/>
    </row>
    <row r="368" spans="2:4" x14ac:dyDescent="0.25">
      <c r="B368" s="52"/>
      <c r="C368" s="52"/>
      <c r="D368" s="52"/>
    </row>
    <row r="369" spans="2:4" x14ac:dyDescent="0.25">
      <c r="B369" s="52"/>
      <c r="C369" s="52"/>
      <c r="D369" s="52"/>
    </row>
    <row r="370" spans="2:4" x14ac:dyDescent="0.25">
      <c r="B370" s="52"/>
      <c r="C370" s="52"/>
      <c r="D370" s="52"/>
    </row>
    <row r="371" spans="2:4" x14ac:dyDescent="0.25">
      <c r="B371" s="52"/>
      <c r="C371" s="52"/>
      <c r="D371" s="52"/>
    </row>
    <row r="372" spans="2:4" x14ac:dyDescent="0.25">
      <c r="B372" s="52"/>
      <c r="C372" s="52"/>
      <c r="D372" s="52"/>
    </row>
    <row r="373" spans="2:4" x14ac:dyDescent="0.25">
      <c r="B373" s="52"/>
      <c r="C373" s="52"/>
      <c r="D373" s="52"/>
    </row>
    <row r="374" spans="2:4" x14ac:dyDescent="0.25">
      <c r="B374" s="52"/>
      <c r="C374" s="52"/>
      <c r="D374" s="52"/>
    </row>
    <row r="375" spans="2:4" x14ac:dyDescent="0.25">
      <c r="B375" s="52"/>
      <c r="C375" s="52"/>
      <c r="D375" s="52"/>
    </row>
    <row r="376" spans="2:4" x14ac:dyDescent="0.25">
      <c r="B376" s="52"/>
      <c r="C376" s="52"/>
      <c r="D376" s="52"/>
    </row>
    <row r="377" spans="2:4" x14ac:dyDescent="0.25">
      <c r="B377" s="52"/>
      <c r="C377" s="52"/>
      <c r="D377" s="52"/>
    </row>
    <row r="378" spans="2:4" x14ac:dyDescent="0.25">
      <c r="B378" s="52"/>
      <c r="C378" s="52"/>
      <c r="D378" s="52"/>
    </row>
    <row r="379" spans="2:4" x14ac:dyDescent="0.25">
      <c r="B379" s="52"/>
      <c r="C379" s="52"/>
      <c r="D379" s="52"/>
    </row>
    <row r="380" spans="2:4" x14ac:dyDescent="0.25">
      <c r="B380" s="52"/>
      <c r="C380" s="52"/>
      <c r="D380" s="52"/>
    </row>
    <row r="381" spans="2:4" x14ac:dyDescent="0.25">
      <c r="B381" s="52"/>
      <c r="C381" s="52"/>
      <c r="D381" s="52"/>
    </row>
    <row r="382" spans="2:4" x14ac:dyDescent="0.25">
      <c r="B382" s="52"/>
      <c r="C382" s="52"/>
      <c r="D382" s="52"/>
    </row>
    <row r="383" spans="2:4" x14ac:dyDescent="0.25">
      <c r="B383" s="52"/>
      <c r="C383" s="52"/>
      <c r="D383" s="52"/>
    </row>
    <row r="384" spans="2:4" x14ac:dyDescent="0.25">
      <c r="B384" s="52"/>
      <c r="C384" s="52"/>
      <c r="D384" s="52"/>
    </row>
    <row r="385" spans="2:4" x14ac:dyDescent="0.25">
      <c r="B385" s="52"/>
      <c r="C385" s="52"/>
      <c r="D385" s="52"/>
    </row>
    <row r="386" spans="2:4" x14ac:dyDescent="0.25">
      <c r="B386" s="52"/>
      <c r="C386" s="52"/>
      <c r="D386" s="52"/>
    </row>
    <row r="387" spans="2:4" x14ac:dyDescent="0.25">
      <c r="B387" s="52"/>
      <c r="C387" s="52"/>
      <c r="D387" s="52"/>
    </row>
    <row r="388" spans="2:4" x14ac:dyDescent="0.25">
      <c r="B388" s="52"/>
      <c r="C388" s="52"/>
      <c r="D388" s="52"/>
    </row>
    <row r="389" spans="2:4" x14ac:dyDescent="0.25">
      <c r="B389" s="52"/>
      <c r="C389" s="52"/>
      <c r="D389" s="52"/>
    </row>
    <row r="390" spans="2:4" x14ac:dyDescent="0.25">
      <c r="B390" s="52"/>
      <c r="C390" s="52"/>
      <c r="D390" s="52"/>
    </row>
    <row r="391" spans="2:4" x14ac:dyDescent="0.25">
      <c r="B391" s="52"/>
      <c r="C391" s="52"/>
      <c r="D391" s="52"/>
    </row>
    <row r="392" spans="2:4" x14ac:dyDescent="0.25">
      <c r="B392" s="52"/>
      <c r="C392" s="52"/>
      <c r="D392" s="52"/>
    </row>
    <row r="393" spans="2:4" x14ac:dyDescent="0.25">
      <c r="B393" s="52"/>
      <c r="C393" s="52"/>
      <c r="D393" s="52"/>
    </row>
    <row r="394" spans="2:4" x14ac:dyDescent="0.25">
      <c r="B394" s="52"/>
      <c r="C394" s="52"/>
      <c r="D394" s="52"/>
    </row>
    <row r="395" spans="2:4" x14ac:dyDescent="0.25">
      <c r="B395" s="52"/>
      <c r="C395" s="52"/>
      <c r="D395" s="52"/>
    </row>
    <row r="396" spans="2:4" x14ac:dyDescent="0.25">
      <c r="B396" s="52"/>
      <c r="C396" s="52"/>
      <c r="D396" s="52"/>
    </row>
    <row r="397" spans="2:4" x14ac:dyDescent="0.25">
      <c r="B397" s="52"/>
      <c r="C397" s="52"/>
      <c r="D397" s="52"/>
    </row>
    <row r="398" spans="2:4" x14ac:dyDescent="0.25">
      <c r="B398" s="52"/>
      <c r="C398" s="52"/>
      <c r="D398" s="52"/>
    </row>
    <row r="399" spans="2:4" x14ac:dyDescent="0.25">
      <c r="B399" s="52"/>
      <c r="C399" s="52"/>
      <c r="D399" s="52"/>
    </row>
    <row r="400" spans="2:4" x14ac:dyDescent="0.25">
      <c r="B400" s="52"/>
      <c r="C400" s="52"/>
      <c r="D400" s="52"/>
    </row>
    <row r="401" spans="2:4" x14ac:dyDescent="0.25">
      <c r="B401" s="52"/>
      <c r="C401" s="52"/>
      <c r="D401" s="52"/>
    </row>
    <row r="402" spans="2:4" x14ac:dyDescent="0.25">
      <c r="B402" s="52"/>
      <c r="C402" s="52"/>
      <c r="D402" s="52"/>
    </row>
    <row r="403" spans="2:4" x14ac:dyDescent="0.25">
      <c r="B403" s="52"/>
      <c r="C403" s="52"/>
      <c r="D403" s="52"/>
    </row>
    <row r="404" spans="2:4" x14ac:dyDescent="0.25">
      <c r="B404" s="52"/>
      <c r="C404" s="52"/>
      <c r="D404" s="52"/>
    </row>
    <row r="405" spans="2:4" x14ac:dyDescent="0.25">
      <c r="B405" s="52"/>
      <c r="C405" s="52"/>
      <c r="D405" s="52"/>
    </row>
    <row r="406" spans="2:4" x14ac:dyDescent="0.25">
      <c r="B406" s="52"/>
      <c r="C406" s="52"/>
      <c r="D406" s="52"/>
    </row>
    <row r="407" spans="2:4" x14ac:dyDescent="0.25">
      <c r="B407" s="52"/>
      <c r="C407" s="52"/>
      <c r="D407" s="52"/>
    </row>
    <row r="408" spans="2:4" x14ac:dyDescent="0.25">
      <c r="B408" s="52"/>
      <c r="C408" s="52"/>
      <c r="D408" s="52"/>
    </row>
    <row r="409" spans="2:4" x14ac:dyDescent="0.25">
      <c r="B409" s="52"/>
      <c r="C409" s="52"/>
      <c r="D409" s="52"/>
    </row>
    <row r="410" spans="2:4" x14ac:dyDescent="0.25">
      <c r="B410" s="52"/>
      <c r="C410" s="52"/>
      <c r="D410" s="52"/>
    </row>
    <row r="411" spans="2:4" x14ac:dyDescent="0.25">
      <c r="B411" s="52"/>
      <c r="C411" s="52"/>
      <c r="D411" s="52"/>
    </row>
    <row r="412" spans="2:4" x14ac:dyDescent="0.25">
      <c r="B412" s="52"/>
      <c r="C412" s="52"/>
      <c r="D412" s="52"/>
    </row>
    <row r="413" spans="2:4" x14ac:dyDescent="0.25">
      <c r="B413" s="52"/>
      <c r="C413" s="52"/>
      <c r="D413" s="52"/>
    </row>
    <row r="414" spans="2:4" x14ac:dyDescent="0.25">
      <c r="B414" s="52"/>
      <c r="C414" s="52"/>
      <c r="D414" s="52"/>
    </row>
    <row r="415" spans="2:4" x14ac:dyDescent="0.25">
      <c r="B415" s="52"/>
      <c r="C415" s="52"/>
      <c r="D415" s="52"/>
    </row>
    <row r="416" spans="2:4" x14ac:dyDescent="0.25">
      <c r="B416" s="52"/>
      <c r="C416" s="52"/>
      <c r="D416" s="52"/>
    </row>
    <row r="417" spans="2:4" x14ac:dyDescent="0.25">
      <c r="B417" s="52"/>
      <c r="C417" s="52"/>
      <c r="D417" s="52"/>
    </row>
    <row r="418" spans="2:4" x14ac:dyDescent="0.25">
      <c r="B418" s="52"/>
      <c r="C418" s="52"/>
      <c r="D418" s="52"/>
    </row>
    <row r="419" spans="2:4" x14ac:dyDescent="0.25">
      <c r="B419" s="52"/>
      <c r="C419" s="52"/>
      <c r="D419" s="52"/>
    </row>
    <row r="420" spans="2:4" x14ac:dyDescent="0.25">
      <c r="B420" s="52"/>
      <c r="C420" s="52"/>
      <c r="D420" s="52"/>
    </row>
    <row r="421" spans="2:4" x14ac:dyDescent="0.25">
      <c r="B421" s="52"/>
      <c r="C421" s="52"/>
      <c r="D421" s="52"/>
    </row>
    <row r="422" spans="2:4" x14ac:dyDescent="0.25">
      <c r="B422" s="52"/>
      <c r="C422" s="52"/>
      <c r="D422" s="52"/>
    </row>
    <row r="423" spans="2:4" x14ac:dyDescent="0.25">
      <c r="B423" s="52"/>
      <c r="C423" s="52"/>
      <c r="D423" s="52"/>
    </row>
    <row r="424" spans="2:4" x14ac:dyDescent="0.25">
      <c r="B424" s="52"/>
      <c r="C424" s="52"/>
      <c r="D424" s="52"/>
    </row>
    <row r="425" spans="2:4" x14ac:dyDescent="0.25">
      <c r="B425" s="52"/>
      <c r="C425" s="52"/>
      <c r="D425" s="52"/>
    </row>
    <row r="426" spans="2:4" x14ac:dyDescent="0.25">
      <c r="B426" s="52"/>
      <c r="C426" s="52"/>
      <c r="D426" s="52"/>
    </row>
    <row r="427" spans="2:4" x14ac:dyDescent="0.25">
      <c r="B427" s="52"/>
      <c r="C427" s="52"/>
      <c r="D427" s="52"/>
    </row>
    <row r="428" spans="2:4" x14ac:dyDescent="0.25">
      <c r="B428" s="52"/>
      <c r="C428" s="52"/>
      <c r="D428" s="52"/>
    </row>
    <row r="429" spans="2:4" x14ac:dyDescent="0.25">
      <c r="B429" s="52"/>
      <c r="C429" s="52"/>
      <c r="D429" s="52"/>
    </row>
    <row r="430" spans="2:4" x14ac:dyDescent="0.25">
      <c r="B430" s="52"/>
      <c r="C430" s="52"/>
      <c r="D430" s="52"/>
    </row>
    <row r="431" spans="2:4" x14ac:dyDescent="0.25">
      <c r="B431" s="52"/>
      <c r="C431" s="52"/>
      <c r="D431" s="52"/>
    </row>
    <row r="432" spans="2:4" x14ac:dyDescent="0.25">
      <c r="B432" s="52"/>
      <c r="C432" s="52"/>
      <c r="D432" s="52"/>
    </row>
    <row r="433" spans="2:4" x14ac:dyDescent="0.25">
      <c r="B433" s="52"/>
      <c r="C433" s="52"/>
      <c r="D433" s="52"/>
    </row>
    <row r="434" spans="2:4" x14ac:dyDescent="0.25">
      <c r="B434" s="52"/>
      <c r="C434" s="52"/>
      <c r="D434" s="52"/>
    </row>
    <row r="435" spans="2:4" x14ac:dyDescent="0.25">
      <c r="B435" s="52"/>
      <c r="C435" s="52"/>
      <c r="D435" s="52"/>
    </row>
    <row r="436" spans="2:4" x14ac:dyDescent="0.25">
      <c r="B436" s="52"/>
      <c r="C436" s="52"/>
      <c r="D436" s="52"/>
    </row>
    <row r="437" spans="2:4" x14ac:dyDescent="0.25">
      <c r="B437" s="52"/>
      <c r="C437" s="52"/>
      <c r="D437" s="52"/>
    </row>
    <row r="438" spans="2:4" x14ac:dyDescent="0.25">
      <c r="B438" s="52"/>
      <c r="C438" s="52"/>
      <c r="D438" s="52"/>
    </row>
    <row r="439" spans="2:4" x14ac:dyDescent="0.25">
      <c r="B439" s="52"/>
      <c r="C439" s="52"/>
      <c r="D439" s="52"/>
    </row>
    <row r="440" spans="2:4" x14ac:dyDescent="0.25">
      <c r="B440" s="52"/>
      <c r="C440" s="52"/>
      <c r="D440" s="52"/>
    </row>
    <row r="441" spans="2:4" x14ac:dyDescent="0.25">
      <c r="B441" s="52"/>
      <c r="C441" s="52"/>
      <c r="D441" s="52"/>
    </row>
    <row r="442" spans="2:4" x14ac:dyDescent="0.25">
      <c r="B442" s="52"/>
      <c r="C442" s="52"/>
      <c r="D442" s="52"/>
    </row>
    <row r="443" spans="2:4" x14ac:dyDescent="0.25">
      <c r="B443" s="52"/>
      <c r="C443" s="52"/>
      <c r="D443" s="52"/>
    </row>
    <row r="444" spans="2:4" x14ac:dyDescent="0.25">
      <c r="B444" s="52"/>
      <c r="C444" s="52"/>
      <c r="D444" s="52"/>
    </row>
    <row r="445" spans="2:4" x14ac:dyDescent="0.25">
      <c r="B445" s="52"/>
      <c r="C445" s="52"/>
      <c r="D445" s="52"/>
    </row>
    <row r="446" spans="2:4" x14ac:dyDescent="0.25">
      <c r="B446" s="52"/>
      <c r="C446" s="52"/>
      <c r="D446" s="52"/>
    </row>
    <row r="447" spans="2:4" x14ac:dyDescent="0.25">
      <c r="B447" s="52"/>
      <c r="C447" s="52"/>
      <c r="D447" s="52"/>
    </row>
    <row r="448" spans="2:4" x14ac:dyDescent="0.25">
      <c r="B448" s="52"/>
      <c r="C448" s="52"/>
      <c r="D448" s="52"/>
    </row>
    <row r="449" spans="2:4" x14ac:dyDescent="0.25">
      <c r="B449" s="52"/>
      <c r="C449" s="52"/>
      <c r="D449" s="52"/>
    </row>
    <row r="450" spans="2:4" x14ac:dyDescent="0.25">
      <c r="B450" s="52"/>
      <c r="C450" s="52"/>
      <c r="D450" s="52"/>
    </row>
    <row r="451" spans="2:4" x14ac:dyDescent="0.25">
      <c r="B451" s="52"/>
      <c r="C451" s="52"/>
      <c r="D451" s="52"/>
    </row>
    <row r="452" spans="2:4" x14ac:dyDescent="0.25">
      <c r="B452" s="52"/>
      <c r="C452" s="52"/>
      <c r="D452" s="52"/>
    </row>
    <row r="453" spans="2:4" x14ac:dyDescent="0.25">
      <c r="B453" s="52"/>
      <c r="C453" s="52"/>
      <c r="D453" s="52"/>
    </row>
    <row r="454" spans="2:4" x14ac:dyDescent="0.25">
      <c r="B454" s="52"/>
      <c r="C454" s="52"/>
      <c r="D454" s="52"/>
    </row>
    <row r="455" spans="2:4" x14ac:dyDescent="0.25">
      <c r="B455" s="52"/>
      <c r="C455" s="52"/>
      <c r="D455" s="52"/>
    </row>
    <row r="456" spans="2:4" x14ac:dyDescent="0.25">
      <c r="B456" s="52"/>
      <c r="C456" s="52"/>
      <c r="D456" s="52"/>
    </row>
    <row r="457" spans="2:4" x14ac:dyDescent="0.25">
      <c r="B457" s="52"/>
      <c r="C457" s="52"/>
      <c r="D457" s="52"/>
    </row>
    <row r="458" spans="2:4" x14ac:dyDescent="0.25">
      <c r="B458" s="52"/>
      <c r="C458" s="52"/>
      <c r="D458" s="52"/>
    </row>
    <row r="459" spans="2:4" x14ac:dyDescent="0.25">
      <c r="B459" s="52"/>
      <c r="C459" s="52"/>
      <c r="D459" s="52"/>
    </row>
    <row r="460" spans="2:4" x14ac:dyDescent="0.25">
      <c r="B460" s="52"/>
      <c r="C460" s="52"/>
      <c r="D460" s="52"/>
    </row>
    <row r="461" spans="2:4" x14ac:dyDescent="0.25">
      <c r="B461" s="52"/>
      <c r="C461" s="52"/>
      <c r="D461" s="52"/>
    </row>
    <row r="462" spans="2:4" x14ac:dyDescent="0.25">
      <c r="B462" s="52"/>
      <c r="C462" s="52"/>
      <c r="D462" s="52"/>
    </row>
    <row r="463" spans="2:4" x14ac:dyDescent="0.25">
      <c r="B463" s="52"/>
      <c r="C463" s="52"/>
      <c r="D463" s="52"/>
    </row>
    <row r="464" spans="2:4" x14ac:dyDescent="0.25">
      <c r="B464" s="52"/>
      <c r="C464" s="52"/>
      <c r="D464" s="52"/>
    </row>
    <row r="465" spans="2:4" x14ac:dyDescent="0.25">
      <c r="B465" s="52"/>
      <c r="C465" s="52"/>
      <c r="D465" s="52"/>
    </row>
    <row r="466" spans="2:4" x14ac:dyDescent="0.25">
      <c r="B466" s="52"/>
      <c r="C466" s="52"/>
      <c r="D466" s="52"/>
    </row>
    <row r="467" spans="2:4" x14ac:dyDescent="0.25">
      <c r="B467" s="52"/>
      <c r="C467" s="52"/>
      <c r="D467" s="52"/>
    </row>
    <row r="468" spans="2:4" x14ac:dyDescent="0.25">
      <c r="B468" s="52"/>
      <c r="C468" s="52"/>
      <c r="D468" s="52"/>
    </row>
    <row r="469" spans="2:4" x14ac:dyDescent="0.25">
      <c r="B469" s="52"/>
      <c r="C469" s="52"/>
      <c r="D469" s="52"/>
    </row>
    <row r="470" spans="2:4" x14ac:dyDescent="0.25">
      <c r="B470" s="52"/>
      <c r="C470" s="52"/>
      <c r="D470" s="52"/>
    </row>
    <row r="471" spans="2:4" x14ac:dyDescent="0.25">
      <c r="B471" s="52"/>
      <c r="C471" s="52"/>
      <c r="D471" s="52"/>
    </row>
    <row r="472" spans="2:4" x14ac:dyDescent="0.25">
      <c r="B472" s="52"/>
      <c r="C472" s="52"/>
      <c r="D472" s="52"/>
    </row>
    <row r="473" spans="2:4" x14ac:dyDescent="0.25">
      <c r="B473" s="52"/>
      <c r="C473" s="52"/>
      <c r="D473" s="52"/>
    </row>
    <row r="474" spans="2:4" x14ac:dyDescent="0.25">
      <c r="B474" s="52"/>
      <c r="C474" s="52"/>
      <c r="D474" s="52"/>
    </row>
    <row r="475" spans="2:4" x14ac:dyDescent="0.25">
      <c r="B475" s="52"/>
      <c r="C475" s="52"/>
      <c r="D475" s="52"/>
    </row>
    <row r="476" spans="2:4" x14ac:dyDescent="0.25">
      <c r="B476" s="52"/>
      <c r="C476" s="52"/>
      <c r="D476" s="52"/>
    </row>
    <row r="477" spans="2:4" x14ac:dyDescent="0.25">
      <c r="B477" s="52"/>
      <c r="C477" s="52"/>
      <c r="D477" s="52"/>
    </row>
    <row r="478" spans="2:4" x14ac:dyDescent="0.25">
      <c r="B478" s="52"/>
      <c r="C478" s="52"/>
      <c r="D478" s="52"/>
    </row>
    <row r="479" spans="2:4" x14ac:dyDescent="0.25">
      <c r="B479" s="52"/>
      <c r="C479" s="52"/>
      <c r="D479" s="52"/>
    </row>
    <row r="480" spans="2:4" x14ac:dyDescent="0.25">
      <c r="B480" s="52"/>
      <c r="C480" s="52"/>
      <c r="D480" s="52"/>
    </row>
    <row r="481" spans="2:4" x14ac:dyDescent="0.25">
      <c r="B481" s="52"/>
      <c r="C481" s="52"/>
      <c r="D481" s="52"/>
    </row>
    <row r="482" spans="2:4" x14ac:dyDescent="0.25">
      <c r="B482" s="52"/>
      <c r="C482" s="52"/>
      <c r="D482" s="52"/>
    </row>
    <row r="483" spans="2:4" x14ac:dyDescent="0.25">
      <c r="B483" s="52"/>
      <c r="C483" s="52"/>
      <c r="D483" s="52"/>
    </row>
    <row r="484" spans="2:4" x14ac:dyDescent="0.25">
      <c r="B484" s="52"/>
      <c r="C484" s="52"/>
      <c r="D484" s="52"/>
    </row>
    <row r="485" spans="2:4" x14ac:dyDescent="0.25">
      <c r="B485" s="52"/>
      <c r="C485" s="52"/>
      <c r="D485" s="52"/>
    </row>
    <row r="486" spans="2:4" x14ac:dyDescent="0.25">
      <c r="B486" s="52"/>
      <c r="C486" s="52"/>
      <c r="D486" s="52"/>
    </row>
    <row r="487" spans="2:4" x14ac:dyDescent="0.25">
      <c r="B487" s="52"/>
      <c r="C487" s="52"/>
      <c r="D487" s="52"/>
    </row>
    <row r="488" spans="2:4" x14ac:dyDescent="0.25">
      <c r="B488" s="52"/>
      <c r="C488" s="52"/>
      <c r="D488" s="52"/>
    </row>
    <row r="489" spans="2:4" x14ac:dyDescent="0.25">
      <c r="B489" s="52"/>
      <c r="C489" s="52"/>
      <c r="D489" s="52"/>
    </row>
    <row r="490" spans="2:4" x14ac:dyDescent="0.25">
      <c r="B490" s="52"/>
      <c r="C490" s="52"/>
      <c r="D490" s="52"/>
    </row>
    <row r="491" spans="2:4" x14ac:dyDescent="0.25">
      <c r="B491" s="52"/>
      <c r="C491" s="52"/>
      <c r="D491" s="52"/>
    </row>
    <row r="492" spans="2:4" x14ac:dyDescent="0.25">
      <c r="B492" s="52"/>
      <c r="C492" s="52"/>
      <c r="D492" s="52"/>
    </row>
    <row r="493" spans="2:4" x14ac:dyDescent="0.25">
      <c r="B493" s="52"/>
      <c r="C493" s="52"/>
      <c r="D493" s="52"/>
    </row>
    <row r="494" spans="2:4" x14ac:dyDescent="0.25">
      <c r="B494" s="52"/>
      <c r="C494" s="52"/>
      <c r="D494" s="52"/>
    </row>
    <row r="495" spans="2:4" x14ac:dyDescent="0.25">
      <c r="B495" s="52"/>
      <c r="C495" s="52"/>
      <c r="D495" s="52"/>
    </row>
    <row r="496" spans="2:4" x14ac:dyDescent="0.25">
      <c r="B496" s="52"/>
      <c r="C496" s="52"/>
      <c r="D496" s="52"/>
    </row>
    <row r="497" spans="2:4" x14ac:dyDescent="0.25">
      <c r="B497" s="52"/>
      <c r="C497" s="52"/>
      <c r="D497" s="52"/>
    </row>
    <row r="498" spans="2:4" x14ac:dyDescent="0.25">
      <c r="B498" s="52"/>
      <c r="C498" s="52"/>
      <c r="D498" s="52"/>
    </row>
    <row r="499" spans="2:4" x14ac:dyDescent="0.25">
      <c r="B499" s="52"/>
      <c r="C499" s="52"/>
      <c r="D499" s="52"/>
    </row>
    <row r="500" spans="2:4" x14ac:dyDescent="0.25">
      <c r="B500" s="52"/>
      <c r="C500" s="52"/>
      <c r="D500" s="52"/>
    </row>
    <row r="501" spans="2:4" x14ac:dyDescent="0.25">
      <c r="B501" s="52"/>
      <c r="C501" s="52"/>
      <c r="D501" s="52"/>
    </row>
    <row r="502" spans="2:4" x14ac:dyDescent="0.25">
      <c r="B502" s="52"/>
      <c r="C502" s="52"/>
      <c r="D502" s="52"/>
    </row>
    <row r="503" spans="2:4" x14ac:dyDescent="0.25">
      <c r="B503" s="52"/>
      <c r="C503" s="52"/>
      <c r="D503" s="52"/>
    </row>
    <row r="504" spans="2:4" x14ac:dyDescent="0.25">
      <c r="B504" s="52"/>
      <c r="C504" s="52"/>
      <c r="D504" s="52"/>
    </row>
    <row r="505" spans="2:4" x14ac:dyDescent="0.25">
      <c r="B505" s="52"/>
      <c r="C505" s="52"/>
      <c r="D505" s="52"/>
    </row>
    <row r="506" spans="2:4" x14ac:dyDescent="0.25">
      <c r="B506" s="52"/>
      <c r="C506" s="52"/>
      <c r="D506" s="52"/>
    </row>
    <row r="507" spans="2:4" x14ac:dyDescent="0.25">
      <c r="B507" s="52"/>
      <c r="C507" s="52"/>
      <c r="D507" s="52"/>
    </row>
    <row r="508" spans="2:4" x14ac:dyDescent="0.25">
      <c r="B508" s="52"/>
      <c r="C508" s="52"/>
      <c r="D508" s="52"/>
    </row>
    <row r="509" spans="2:4" x14ac:dyDescent="0.25">
      <c r="B509" s="52"/>
      <c r="C509" s="52"/>
      <c r="D509" s="52"/>
    </row>
    <row r="510" spans="2:4" x14ac:dyDescent="0.25">
      <c r="B510" s="52"/>
      <c r="C510" s="52"/>
      <c r="D510" s="52"/>
    </row>
    <row r="511" spans="2:4" x14ac:dyDescent="0.25">
      <c r="B511" s="52"/>
      <c r="C511" s="52"/>
      <c r="D511" s="52"/>
    </row>
    <row r="512" spans="2:4" x14ac:dyDescent="0.25">
      <c r="B512" s="52"/>
      <c r="C512" s="52"/>
      <c r="D512" s="52"/>
    </row>
    <row r="513" spans="2:4" x14ac:dyDescent="0.25">
      <c r="B513" s="52"/>
      <c r="C513" s="52"/>
      <c r="D513" s="52"/>
    </row>
    <row r="514" spans="2:4" x14ac:dyDescent="0.25">
      <c r="B514" s="52"/>
      <c r="C514" s="52"/>
      <c r="D514" s="52"/>
    </row>
    <row r="515" spans="2:4" x14ac:dyDescent="0.25">
      <c r="B515" s="52"/>
      <c r="C515" s="52"/>
      <c r="D515" s="52"/>
    </row>
    <row r="516" spans="2:4" x14ac:dyDescent="0.25">
      <c r="B516" s="52"/>
      <c r="C516" s="52"/>
      <c r="D516" s="52"/>
    </row>
    <row r="517" spans="2:4" x14ac:dyDescent="0.25">
      <c r="B517" s="52"/>
      <c r="C517" s="52"/>
      <c r="D517" s="52"/>
    </row>
    <row r="518" spans="2:4" x14ac:dyDescent="0.25">
      <c r="B518" s="52"/>
      <c r="C518" s="52"/>
      <c r="D518" s="52"/>
    </row>
    <row r="519" spans="2:4" x14ac:dyDescent="0.25">
      <c r="B519" s="52"/>
      <c r="C519" s="52"/>
      <c r="D519" s="52"/>
    </row>
    <row r="520" spans="2:4" x14ac:dyDescent="0.25">
      <c r="B520" s="52"/>
      <c r="C520" s="52"/>
      <c r="D520" s="52"/>
    </row>
    <row r="521" spans="2:4" x14ac:dyDescent="0.25">
      <c r="B521" s="52"/>
      <c r="C521" s="52"/>
      <c r="D521" s="52"/>
    </row>
    <row r="522" spans="2:4" x14ac:dyDescent="0.25">
      <c r="B522" s="52"/>
      <c r="C522" s="52"/>
      <c r="D522" s="52"/>
    </row>
    <row r="523" spans="2:4" x14ac:dyDescent="0.25">
      <c r="B523" s="52"/>
      <c r="C523" s="52"/>
      <c r="D523" s="52"/>
    </row>
    <row r="524" spans="2:4" x14ac:dyDescent="0.25">
      <c r="B524" s="52"/>
      <c r="C524" s="52"/>
      <c r="D524" s="52"/>
    </row>
    <row r="525" spans="2:4" x14ac:dyDescent="0.25">
      <c r="B525" s="52"/>
      <c r="C525" s="52"/>
      <c r="D525" s="52"/>
    </row>
    <row r="526" spans="2:4" x14ac:dyDescent="0.25">
      <c r="B526" s="52"/>
      <c r="C526" s="52"/>
      <c r="D526" s="52"/>
    </row>
    <row r="527" spans="2:4" x14ac:dyDescent="0.25">
      <c r="B527" s="52"/>
      <c r="C527" s="52"/>
      <c r="D527" s="52"/>
    </row>
    <row r="528" spans="2:4" x14ac:dyDescent="0.25">
      <c r="B528" s="52"/>
      <c r="C528" s="52"/>
      <c r="D528" s="52"/>
    </row>
    <row r="529" spans="2:4" x14ac:dyDescent="0.25">
      <c r="B529" s="52"/>
      <c r="C529" s="52"/>
      <c r="D529" s="52"/>
    </row>
    <row r="530" spans="2:4" x14ac:dyDescent="0.25">
      <c r="B530" s="52"/>
      <c r="C530" s="52"/>
      <c r="D530" s="52"/>
    </row>
    <row r="531" spans="2:4" x14ac:dyDescent="0.25">
      <c r="B531" s="52"/>
      <c r="C531" s="52"/>
      <c r="D531" s="52"/>
    </row>
    <row r="532" spans="2:4" x14ac:dyDescent="0.25">
      <c r="B532" s="52"/>
      <c r="C532" s="52"/>
      <c r="D532" s="52"/>
    </row>
    <row r="533" spans="2:4" x14ac:dyDescent="0.25">
      <c r="B533" s="52"/>
      <c r="C533" s="52"/>
      <c r="D533" s="52"/>
    </row>
    <row r="534" spans="2:4" x14ac:dyDescent="0.25">
      <c r="B534" s="52"/>
      <c r="C534" s="52"/>
      <c r="D534" s="52"/>
    </row>
    <row r="535" spans="2:4" x14ac:dyDescent="0.25">
      <c r="B535" s="52"/>
      <c r="C535" s="52"/>
      <c r="D535" s="52"/>
    </row>
    <row r="536" spans="2:4" x14ac:dyDescent="0.25">
      <c r="B536" s="52"/>
      <c r="C536" s="52"/>
      <c r="D536" s="52"/>
    </row>
    <row r="537" spans="2:4" x14ac:dyDescent="0.25">
      <c r="B537" s="52"/>
      <c r="C537" s="52"/>
      <c r="D537" s="52"/>
    </row>
    <row r="538" spans="2:4" x14ac:dyDescent="0.25">
      <c r="B538" s="52"/>
      <c r="C538" s="52"/>
      <c r="D538" s="52"/>
    </row>
    <row r="539" spans="2:4" x14ac:dyDescent="0.25">
      <c r="B539" s="52"/>
      <c r="C539" s="52"/>
      <c r="D539" s="52"/>
    </row>
    <row r="540" spans="2:4" x14ac:dyDescent="0.25">
      <c r="B540" s="52"/>
      <c r="C540" s="52"/>
      <c r="D540" s="52"/>
    </row>
    <row r="541" spans="2:4" x14ac:dyDescent="0.25">
      <c r="B541" s="52"/>
      <c r="C541" s="52"/>
      <c r="D541" s="52"/>
    </row>
    <row r="542" spans="2:4" x14ac:dyDescent="0.25">
      <c r="B542" s="52"/>
      <c r="C542" s="52"/>
      <c r="D542" s="52"/>
    </row>
    <row r="543" spans="2:4" x14ac:dyDescent="0.25">
      <c r="B543" s="52"/>
      <c r="C543" s="52"/>
      <c r="D543" s="52"/>
    </row>
    <row r="544" spans="2:4" x14ac:dyDescent="0.25">
      <c r="B544" s="52"/>
      <c r="C544" s="52"/>
      <c r="D544" s="52"/>
    </row>
    <row r="545" spans="2:4" x14ac:dyDescent="0.25">
      <c r="B545" s="52"/>
      <c r="C545" s="52"/>
      <c r="D545" s="52"/>
    </row>
    <row r="546" spans="2:4" x14ac:dyDescent="0.25">
      <c r="B546" s="52"/>
      <c r="C546" s="52"/>
      <c r="D546" s="52"/>
    </row>
    <row r="547" spans="2:4" x14ac:dyDescent="0.25">
      <c r="B547" s="52"/>
      <c r="C547" s="52"/>
      <c r="D547" s="52"/>
    </row>
    <row r="548" spans="2:4" x14ac:dyDescent="0.25">
      <c r="B548" s="52"/>
      <c r="C548" s="52"/>
      <c r="D548" s="52"/>
    </row>
    <row r="549" spans="2:4" x14ac:dyDescent="0.25">
      <c r="B549" s="52"/>
      <c r="C549" s="52"/>
      <c r="D549" s="52"/>
    </row>
    <row r="550" spans="2:4" x14ac:dyDescent="0.25">
      <c r="B550" s="52"/>
      <c r="C550" s="52"/>
      <c r="D550" s="52"/>
    </row>
    <row r="551" spans="2:4" x14ac:dyDescent="0.25">
      <c r="B551" s="52"/>
      <c r="C551" s="52"/>
      <c r="D551" s="52"/>
    </row>
    <row r="552" spans="2:4" x14ac:dyDescent="0.25">
      <c r="B552" s="52"/>
      <c r="C552" s="52"/>
      <c r="D552" s="52"/>
    </row>
    <row r="553" spans="2:4" x14ac:dyDescent="0.25">
      <c r="B553" s="52"/>
      <c r="C553" s="52"/>
      <c r="D553" s="52"/>
    </row>
  </sheetData>
  <mergeCells count="1">
    <mergeCell ref="B1:D1"/>
  </mergeCells>
  <hyperlinks>
    <hyperlink ref="D67" r:id="rId1"/>
    <hyperlink ref="D79" r:id="rId2"/>
    <hyperlink ref="D91" r:id="rId3"/>
    <hyperlink ref="D96" r:id="rId4"/>
  </hyperlinks>
  <pageMargins left="0.7" right="0.7" top="0.75" bottom="0.75" header="0.3" footer="0.3"/>
  <pageSetup paperSize="9" orientation="portrait"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A4"/>
  <sheetViews>
    <sheetView workbookViewId="0">
      <selection activeCell="B5" sqref="B5"/>
    </sheetView>
  </sheetViews>
  <sheetFormatPr baseColWidth="10" defaultRowHeight="15" x14ac:dyDescent="0.25"/>
  <cols>
    <col min="1" max="1" width="28.28515625" customWidth="1"/>
  </cols>
  <sheetData>
    <row r="1" spans="1:1" x14ac:dyDescent="0.25">
      <c r="A1" t="s">
        <v>60</v>
      </c>
    </row>
    <row r="2" spans="1:1" x14ac:dyDescent="0.25">
      <c r="A2" t="s">
        <v>74</v>
      </c>
    </row>
    <row r="3" spans="1:1" x14ac:dyDescent="0.25">
      <c r="A3" t="s">
        <v>61</v>
      </c>
    </row>
    <row r="4" spans="1:1" x14ac:dyDescent="0.25">
      <c r="A4" t="s">
        <v>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13</vt:i4>
      </vt:variant>
    </vt:vector>
  </HeadingPairs>
  <TitlesOfParts>
    <vt:vector size="22" baseType="lpstr">
      <vt:lpstr>Planning journalier</vt:lpstr>
      <vt:lpstr>Personnel</vt:lpstr>
      <vt:lpstr>Vacances</vt:lpstr>
      <vt:lpstr>Feries</vt:lpstr>
      <vt:lpstr>Groupes</vt:lpstr>
      <vt:lpstr>Remplacements</vt:lpstr>
      <vt:lpstr>Parametres</vt:lpstr>
      <vt:lpstr>Index des Versions</vt:lpstr>
      <vt:lpstr>Liste</vt:lpstr>
      <vt:lpstr>ApresMidi</vt:lpstr>
      <vt:lpstr>Date_planning</vt:lpstr>
      <vt:lpstr>Date_print</vt:lpstr>
      <vt:lpstr>Effectif_Minimum</vt:lpstr>
      <vt:lpstr>EnEpreuve_VaoX5A</vt:lpstr>
      <vt:lpstr>EnEpreuve_VaoX5B</vt:lpstr>
      <vt:lpstr>EnEpreuve_VaoX5C</vt:lpstr>
      <vt:lpstr>EnEpreuve_VaoX5D</vt:lpstr>
      <vt:lpstr>MAJ_Stats</vt:lpstr>
      <vt:lpstr>Ref_GroupeG1</vt:lpstr>
      <vt:lpstr>Resp_livraison</vt:lpstr>
      <vt:lpstr>Resp_Semaine</vt:lpstr>
      <vt:lpstr>VaoX5_C_EnEpreuve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 Cirulli</dc:creator>
  <cp:lastModifiedBy>Joakim Nicolet-dit-Félix</cp:lastModifiedBy>
  <cp:lastPrinted>2026-06-09T09:00:58Z</cp:lastPrinted>
  <dcterms:created xsi:type="dcterms:W3CDTF">2026-02-10T15:45:26Z</dcterms:created>
  <dcterms:modified xsi:type="dcterms:W3CDTF">2026-06-11T12:46:35Z</dcterms:modified>
</cp:coreProperties>
</file>